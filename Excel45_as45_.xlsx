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https://d.docs.live.net/978F18E0049FC7A8/Desktop/"/>
    </mc:Choice>
  </mc:AlternateContent>
  <xr:revisionPtr revIDLastSave="0" documentId="8_{15FC121E-B829-432B-9E95-A2A82DA2E98E}" xr6:coauthVersionLast="47" xr6:coauthVersionMax="47" xr10:uidLastSave="{00000000-0000-0000-0000-000000000000}"/>
  <bookViews>
    <workbookView xWindow="-108" yWindow="-108" windowWidth="23256" windowHeight="12456" activeTab="4" xr2:uid="{00000000-000D-0000-FFFF-FFFF00000000}"/>
  </bookViews>
  <sheets>
    <sheet name="q2table2" sheetId="4" r:id="rId1"/>
    <sheet name="Expenses sheet " sheetId="1" r:id="rId2"/>
    <sheet name="sheet2" sheetId="3" r:id="rId3"/>
    <sheet name="Pivot_Sheet" sheetId="2" r:id="rId4"/>
    <sheet name="Dashboard" sheetId="5" r:id="rId5"/>
  </sheets>
  <definedNames>
    <definedName name="ExternalData_1" localSheetId="0" hidden="1">q2table2!$A$1:$I$21</definedName>
    <definedName name="Slicer_Bank_Code">#N/A</definedName>
    <definedName name="Slicer_Reference">#N/A</definedName>
    <definedName name="Slicer_Text_Code">#N/A</definedName>
  </definedNames>
  <calcPr calcId="191029"/>
  <pivotCaches>
    <pivotCache cacheId="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 i="2" l="1"/>
  <c r="B26" i="2"/>
  <c r="D15" i="2"/>
  <c r="B2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799796-DAFD-4FEC-85AF-BA65131EA6D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<sst xmlns="http://schemas.openxmlformats.org/spreadsheetml/2006/main" count="786" uniqueCount="90">
  <si>
    <t>Document Date</t>
  </si>
  <si>
    <t>Supplier</t>
  </si>
  <si>
    <t>Reference</t>
  </si>
  <si>
    <t>Description</t>
  </si>
  <si>
    <t>Tax Inclusive Amount</t>
  </si>
  <si>
    <t>Bank Code</t>
  </si>
  <si>
    <t>Account Code</t>
  </si>
  <si>
    <t>Payment Date</t>
  </si>
  <si>
    <t>XY Solutions</t>
  </si>
  <si>
    <t>S77782</t>
  </si>
  <si>
    <t>Opening Balance</t>
  </si>
  <si>
    <t>A</t>
  </si>
  <si>
    <t>B1</t>
  </si>
  <si>
    <t>BS-500</t>
  </si>
  <si>
    <t>IS Communications</t>
  </si>
  <si>
    <t>Invoice EXP22</t>
  </si>
  <si>
    <t>Internet Service Provider</t>
  </si>
  <si>
    <t>IS-380</t>
  </si>
  <si>
    <t>Newscorp</t>
  </si>
  <si>
    <t>I381119</t>
  </si>
  <si>
    <t>Subscriptions</t>
  </si>
  <si>
    <t>IS-375</t>
  </si>
  <si>
    <t>EAG Brokers</t>
  </si>
  <si>
    <t>Debit Order</t>
  </si>
  <si>
    <t>Insurance</t>
  </si>
  <si>
    <t>IS-340</t>
  </si>
  <si>
    <t>Capital Bank</t>
  </si>
  <si>
    <t>Bank Statement</t>
  </si>
  <si>
    <t>Service Fees</t>
  </si>
  <si>
    <t>IS-315</t>
  </si>
  <si>
    <t>B2</t>
  </si>
  <si>
    <t>IAS Accountants</t>
  </si>
  <si>
    <t>Invoice</t>
  </si>
  <si>
    <t>Bookkeeping</t>
  </si>
  <si>
    <t>IS-305</t>
  </si>
  <si>
    <t>Interflora</t>
  </si>
  <si>
    <t>Cash</t>
  </si>
  <si>
    <t>Flowers</t>
  </si>
  <si>
    <t>PC</t>
  </si>
  <si>
    <t>IS-345</t>
  </si>
  <si>
    <t>QQ International</t>
  </si>
  <si>
    <t>TR6998</t>
  </si>
  <si>
    <t>Parking</t>
  </si>
  <si>
    <t>IS-390</t>
  </si>
  <si>
    <t>Example (Pty) Ltd</t>
  </si>
  <si>
    <t>Transfer</t>
  </si>
  <si>
    <t>Inter Account Transfer</t>
  </si>
  <si>
    <t>E</t>
  </si>
  <si>
    <t>BS-399</t>
  </si>
  <si>
    <t>Payroll</t>
  </si>
  <si>
    <t>Salaries</t>
  </si>
  <si>
    <t>IS-365</t>
  </si>
  <si>
    <t>HP Finance</t>
  </si>
  <si>
    <t>Capital repayment</t>
  </si>
  <si>
    <t>BS-700</t>
  </si>
  <si>
    <t>Interest paid</t>
  </si>
  <si>
    <t>IS-500</t>
  </si>
  <si>
    <t>PR Properties</t>
  </si>
  <si>
    <t>Rent</t>
  </si>
  <si>
    <t>IS-350</t>
  </si>
  <si>
    <t>Petty Cash Reimbursement</t>
  </si>
  <si>
    <t>Invoice EXP23</t>
  </si>
  <si>
    <t>Inland Revenue</t>
  </si>
  <si>
    <t>Return</t>
  </si>
  <si>
    <t>Sales Tax</t>
  </si>
  <si>
    <t>BS-600</t>
  </si>
  <si>
    <t>Furniture City</t>
  </si>
  <si>
    <t>Furniture</t>
  </si>
  <si>
    <t>BS-100</t>
  </si>
  <si>
    <t>GF Supplies</t>
  </si>
  <si>
    <t>IN1179</t>
  </si>
  <si>
    <t>Consumables</t>
  </si>
  <si>
    <t>IS-325</t>
  </si>
  <si>
    <t>Invoice EXP24</t>
  </si>
  <si>
    <t>Training Inc</t>
  </si>
  <si>
    <t>Course</t>
  </si>
  <si>
    <t>IS-385</t>
  </si>
  <si>
    <t>City Lodge</t>
  </si>
  <si>
    <t>S50037</t>
  </si>
  <si>
    <t>Accommodation</t>
  </si>
  <si>
    <t>Waltons</t>
  </si>
  <si>
    <t>Stationery</t>
  </si>
  <si>
    <t>IS-370</t>
  </si>
  <si>
    <t>Text Code</t>
  </si>
  <si>
    <t>Row Labels</t>
  </si>
  <si>
    <t>Grand Total</t>
  </si>
  <si>
    <t>Count of Supplier</t>
  </si>
  <si>
    <t>Count of Reference</t>
  </si>
  <si>
    <t>Sum of Tax Inclusive Amount</t>
  </si>
  <si>
    <t>Count of Tax Inclusive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</si>
</sst>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14" fontId="0" fillId="0" borderId="1" xfId="0" applyNumberFormat="1" applyBorder="1"/>
    <xf numFmtId="0" fontId="0" fillId="0" borderId="1" xfId="0" applyBorder="1"/>
    <xf numFmtId="0" fontId="0" fillId="0" borderId="0" xfId="0" pivotButton="1"/>
    <xf numFmtId="0" fontId="0" fillId="0" borderId="0" xfId="0" applyAlignment="1">
      <alignment horizontal="left"/>
    </xf>
    <xf numFmtId="0" fontId="1" fillId="2" borderId="1" xfId="0" applyFont="1" applyFill="1" applyBorder="1"/>
    <xf numFmtId="14" fontId="0" fillId="0" borderId="2" xfId="0" applyNumberFormat="1" applyBorder="1"/>
    <xf numFmtId="14" fontId="0" fillId="0" borderId="3" xfId="0" applyNumberFormat="1" applyBorder="1"/>
    <xf numFmtId="0" fontId="1" fillId="2" borderId="4" xfId="0" applyFont="1" applyFill="1" applyBorder="1"/>
    <xf numFmtId="0" fontId="1" fillId="2" borderId="5" xfId="0" applyFont="1" applyFill="1" applyBorder="1"/>
    <xf numFmtId="0" fontId="1" fillId="2" borderId="6" xfId="0" applyFont="1" applyFill="1" applyBorder="1"/>
    <xf numFmtId="14" fontId="0" fillId="0" borderId="7" xfId="0" applyNumberFormat="1" applyBorder="1"/>
    <xf numFmtId="0" fontId="0" fillId="0" borderId="8" xfId="0" applyBorder="1"/>
    <xf numFmtId="14" fontId="0" fillId="0" borderId="9" xfId="0" applyNumberFormat="1" applyBorder="1"/>
    <xf numFmtId="22" fontId="0" fillId="0" borderId="0" xfId="0" applyNumberFormat="1"/>
    <xf numFmtId="0" fontId="0" fillId="0" borderId="0" xfId="0" applyAlignment="1">
      <alignment horizontal="left" indent="1"/>
    </xf>
    <xf numFmtId="0" fontId="0" fillId="0" borderId="0" xfId="0" applyNumberFormat="1"/>
  </cellXfs>
  <cellStyles count="1">
    <cellStyle name="Normal" xfId="0" builtinId="0"/>
  </cellStyles>
  <dxfs count="21">
    <dxf>
      <numFmt numFmtId="19" formatCode="dd/mm/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rgb="FFFFFF00"/>
        </patternFill>
      </fill>
      <border diagonalUp="0" diagonalDown="0" outline="0">
        <left style="thin">
          <color indexed="64"/>
        </left>
        <right style="thin">
          <color indexed="64"/>
        </right>
        <top/>
        <bottom/>
      </border>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[Excel45_as45_.xlsx]Pivot_Sheet!PivotTable2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tint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Pivot_Sheet!$D$1</c:f>
              <c:strCache>
                <c:ptCount val="1"/>
                <c:pt idx="0">
                  <c:v>Total</c:v>
                </c:pt>
              </c:strCache>
            </c:strRef>
          </c:tx>
          <c:dPt>
            <c:idx val="0"/>
            <c:bubble3D val="0"/>
            <c:spPr>
              <a:solidFill>
                <a:schemeClr val="accent1">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35AD-44BC-89B7-63D743257D3F}"/>
              </c:ext>
            </c:extLst>
          </c:dPt>
          <c:dPt>
            <c:idx val="1"/>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35AD-44BC-89B7-63D743257D3F}"/>
              </c:ext>
            </c:extLst>
          </c:dPt>
          <c:dPt>
            <c:idx val="2"/>
            <c:bubble3D val="0"/>
            <c:spPr>
              <a:solidFill>
                <a:schemeClr val="accent1">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35AD-44BC-89B7-63D743257D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Pivot_Sheet!$C$2:$C$5</c:f>
              <c:strCache>
                <c:ptCount val="3"/>
                <c:pt idx="0">
                  <c:v>B1</c:v>
                </c:pt>
                <c:pt idx="1">
                  <c:v>B2</c:v>
                </c:pt>
                <c:pt idx="2">
                  <c:v>PC</c:v>
                </c:pt>
              </c:strCache>
            </c:strRef>
          </c:cat>
          <c:val>
            <c:numRef>
              <c:f>Pivot_Sheet!$D$2:$D$5</c:f>
              <c:numCache>
                <c:formatCode>General</c:formatCode>
                <c:ptCount val="3"/>
                <c:pt idx="0">
                  <c:v>33</c:v>
                </c:pt>
                <c:pt idx="1">
                  <c:v>9</c:v>
                </c:pt>
                <c:pt idx="2">
                  <c:v>5</c:v>
                </c:pt>
              </c:numCache>
            </c:numRef>
          </c:val>
          <c:extLst>
            <c:ext xmlns:c16="http://schemas.microsoft.com/office/drawing/2014/chart" uri="{C3380CC4-5D6E-409C-BE32-E72D297353CC}">
              <c16:uniqueId val="{00000006-35AD-44BC-89B7-63D743257D3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[Excel45_as45_.xlsx]Pivot_Sheet!PivotTable3</c:name>
    <c:fmtId val="8"/>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Pivot_Sheet!$G$1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Pivot_Sheet!$F$2:$F$22</c:f>
              <c:strCache>
                <c:ptCount val="20"/>
                <c:pt idx="0">
                  <c:v>Accommodation</c:v>
                </c:pt>
                <c:pt idx="1">
                  <c:v>Bookkeeping</c:v>
                </c:pt>
                <c:pt idx="2">
                  <c:v>Capital repayment</c:v>
                </c:pt>
                <c:pt idx="3">
                  <c:v>Consumables</c:v>
                </c:pt>
                <c:pt idx="4">
                  <c:v>Course</c:v>
                </c:pt>
                <c:pt idx="5">
                  <c:v>Flowers</c:v>
                </c:pt>
                <c:pt idx="6">
                  <c:v>Furniture</c:v>
                </c:pt>
                <c:pt idx="7">
                  <c:v>Insurance</c:v>
                </c:pt>
                <c:pt idx="8">
                  <c:v>Inter Account Transfer</c:v>
                </c:pt>
                <c:pt idx="9">
                  <c:v>Interest paid</c:v>
                </c:pt>
                <c:pt idx="10">
                  <c:v>Internet Service Provider</c:v>
                </c:pt>
                <c:pt idx="11">
                  <c:v>Opening Balance</c:v>
                </c:pt>
                <c:pt idx="12">
                  <c:v>Parking</c:v>
                </c:pt>
                <c:pt idx="13">
                  <c:v>Petty Cash Reimbursement</c:v>
                </c:pt>
                <c:pt idx="14">
                  <c:v>Rent</c:v>
                </c:pt>
                <c:pt idx="15">
                  <c:v>Salaries</c:v>
                </c:pt>
                <c:pt idx="16">
                  <c:v>Sales Tax</c:v>
                </c:pt>
                <c:pt idx="17">
                  <c:v>Service Fees</c:v>
                </c:pt>
                <c:pt idx="18">
                  <c:v>Stationery</c:v>
                </c:pt>
                <c:pt idx="19">
                  <c:v>Subscriptions</c:v>
                </c:pt>
              </c:strCache>
            </c:strRef>
          </c:cat>
          <c:val>
            <c:numRef>
              <c:f>Pivot_Sheet!$G$2:$G$22</c:f>
              <c:numCache>
                <c:formatCode>General</c:formatCode>
                <c:ptCount val="20"/>
                <c:pt idx="0">
                  <c:v>1</c:v>
                </c:pt>
                <c:pt idx="1">
                  <c:v>3</c:v>
                </c:pt>
                <c:pt idx="2">
                  <c:v>3</c:v>
                </c:pt>
                <c:pt idx="3">
                  <c:v>1</c:v>
                </c:pt>
                <c:pt idx="4">
                  <c:v>1</c:v>
                </c:pt>
                <c:pt idx="5">
                  <c:v>2</c:v>
                </c:pt>
                <c:pt idx="6">
                  <c:v>1</c:v>
                </c:pt>
                <c:pt idx="7">
                  <c:v>3</c:v>
                </c:pt>
                <c:pt idx="8">
                  <c:v>6</c:v>
                </c:pt>
                <c:pt idx="9">
                  <c:v>3</c:v>
                </c:pt>
                <c:pt idx="10">
                  <c:v>3</c:v>
                </c:pt>
                <c:pt idx="11">
                  <c:v>1</c:v>
                </c:pt>
                <c:pt idx="12">
                  <c:v>1</c:v>
                </c:pt>
                <c:pt idx="13">
                  <c:v>4</c:v>
                </c:pt>
                <c:pt idx="14">
                  <c:v>2</c:v>
                </c:pt>
                <c:pt idx="15">
                  <c:v>3</c:v>
                </c:pt>
                <c:pt idx="16">
                  <c:v>1</c:v>
                </c:pt>
                <c:pt idx="17">
                  <c:v>6</c:v>
                </c:pt>
                <c:pt idx="18">
                  <c:v>1</c:v>
                </c:pt>
                <c:pt idx="19">
                  <c:v>1</c:v>
                </c:pt>
              </c:numCache>
            </c:numRef>
          </c:val>
          <c:extLst>
            <c:ext xmlns:c16="http://schemas.microsoft.com/office/drawing/2014/chart" uri="{C3380CC4-5D6E-409C-BE32-E72D297353CC}">
              <c16:uniqueId val="{00000000-069D-4C06-8CE1-B0113C5C3704}"/>
            </c:ext>
          </c:extLst>
        </c:ser>
        <c:dLbls>
          <c:dLblPos val="outEnd"/>
          <c:showLegendKey val="0"/>
          <c:showVal val="1"/>
          <c:showCatName val="0"/>
          <c:showSerName val="0"/>
          <c:showPercent val="0"/>
          <c:showBubbleSize val="0"/>
        </c:dLbls>
        <c:gapWidth val="182"/>
        <c:axId val="1948566159"/>
        <c:axId val="1948566639"/>
      </c:barChart>
      <c:catAx>
        <c:axId val="1948566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8566639"/>
        <c:crosses val="autoZero"/>
        <c:auto val="1"/>
        <c:lblAlgn val="ctr"/>
        <c:lblOffset val="100"/>
        <c:noMultiLvlLbl val="0"/>
      </c:catAx>
      <c:valAx>
        <c:axId val="1948566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856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[Excel45_as45_.xlsx]Pivot_Sheet!PivotTable1</c:name>
    <c:fmtId val="11"/>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Pivot_Sheet!$B$1</c:f>
              <c:strCache>
                <c:ptCount val="1"/>
                <c:pt idx="0">
                  <c:v>Total</c:v>
                </c:pt>
              </c:strCache>
            </c:strRef>
          </c:tx>
          <c:spPr>
            <a:solidFill>
              <a:schemeClr val="accent1"/>
            </a:solidFill>
            <a:ln>
              <a:noFill/>
            </a:ln>
            <a:effectLst/>
          </c:spPr>
          <c:invertIfNegative val="0"/>
          <c:cat>
            <c:multiLvlStrRef>
              <c:f>Pivot_Sheet!$A$2:$A$24</c:f>
              <c:multiLvlStrCache>
                <c:ptCount val="20"/>
                <c:lvl>
                  <c:pt idx="0">
                    <c:v>Accommodation</c:v>
                  </c:pt>
                  <c:pt idx="1">
                    <c:v>Bookkeeping</c:v>
                  </c:pt>
                  <c:pt idx="2">
                    <c:v>Consumables</c:v>
                  </c:pt>
                  <c:pt idx="3">
                    <c:v>Course</c:v>
                  </c:pt>
                  <c:pt idx="4">
                    <c:v>Flowers</c:v>
                  </c:pt>
                  <c:pt idx="5">
                    <c:v>Furniture</c:v>
                  </c:pt>
                  <c:pt idx="6">
                    <c:v>Insurance</c:v>
                  </c:pt>
                  <c:pt idx="7">
                    <c:v>Internet Service Provider</c:v>
                  </c:pt>
                  <c:pt idx="8">
                    <c:v>Opening Balance</c:v>
                  </c:pt>
                  <c:pt idx="9">
                    <c:v>Parking</c:v>
                  </c:pt>
                  <c:pt idx="10">
                    <c:v>Rent</c:v>
                  </c:pt>
                  <c:pt idx="11">
                    <c:v>Service Fees</c:v>
                  </c:pt>
                  <c:pt idx="12">
                    <c:v>Stationery</c:v>
                  </c:pt>
                  <c:pt idx="13">
                    <c:v>Subscriptions</c:v>
                  </c:pt>
                  <c:pt idx="14">
                    <c:v>Capital repayment</c:v>
                  </c:pt>
                  <c:pt idx="15">
                    <c:v>Inter Account Transfer</c:v>
                  </c:pt>
                  <c:pt idx="16">
                    <c:v>Interest paid</c:v>
                  </c:pt>
                  <c:pt idx="17">
                    <c:v>Petty Cash Reimbursement</c:v>
                  </c:pt>
                  <c:pt idx="18">
                    <c:v>Salaries</c:v>
                  </c:pt>
                  <c:pt idx="19">
                    <c:v>Sales Tax</c:v>
                  </c:pt>
                </c:lvl>
                <c:lvl>
                  <c:pt idx="0">
                    <c:v>A</c:v>
                  </c:pt>
                  <c:pt idx="14">
                    <c:v>E</c:v>
                  </c:pt>
                </c:lvl>
              </c:multiLvlStrCache>
            </c:multiLvlStrRef>
          </c:cat>
          <c:val>
            <c:numRef>
              <c:f>Pivot_Sheet!$B$2:$B$24</c:f>
              <c:numCache>
                <c:formatCode>General</c:formatCode>
                <c:ptCount val="20"/>
                <c:pt idx="0">
                  <c:v>563</c:v>
                </c:pt>
                <c:pt idx="1">
                  <c:v>3000</c:v>
                </c:pt>
                <c:pt idx="2">
                  <c:v>41</c:v>
                </c:pt>
                <c:pt idx="3">
                  <c:v>220</c:v>
                </c:pt>
                <c:pt idx="4">
                  <c:v>177</c:v>
                </c:pt>
                <c:pt idx="5">
                  <c:v>3000</c:v>
                </c:pt>
                <c:pt idx="6">
                  <c:v>1020</c:v>
                </c:pt>
                <c:pt idx="7">
                  <c:v>537</c:v>
                </c:pt>
                <c:pt idx="8">
                  <c:v>5100</c:v>
                </c:pt>
                <c:pt idx="9">
                  <c:v>200</c:v>
                </c:pt>
                <c:pt idx="10">
                  <c:v>12800</c:v>
                </c:pt>
                <c:pt idx="11">
                  <c:v>315</c:v>
                </c:pt>
                <c:pt idx="12">
                  <c:v>982</c:v>
                </c:pt>
                <c:pt idx="13">
                  <c:v>478</c:v>
                </c:pt>
                <c:pt idx="14">
                  <c:v>660</c:v>
                </c:pt>
                <c:pt idx="15">
                  <c:v>0</c:v>
                </c:pt>
                <c:pt idx="16">
                  <c:v>300</c:v>
                </c:pt>
                <c:pt idx="17">
                  <c:v>0</c:v>
                </c:pt>
                <c:pt idx="18">
                  <c:v>53000</c:v>
                </c:pt>
                <c:pt idx="19">
                  <c:v>1300</c:v>
                </c:pt>
              </c:numCache>
            </c:numRef>
          </c:val>
          <c:extLst>
            <c:ext xmlns:c16="http://schemas.microsoft.com/office/drawing/2014/chart" uri="{C3380CC4-5D6E-409C-BE32-E72D297353CC}">
              <c16:uniqueId val="{00000000-A196-4B18-8F9C-DC7132A3097E}"/>
            </c:ext>
          </c:extLst>
        </c:ser>
        <c:dLbls>
          <c:dLblPos val="outEnd"/>
          <c:showLegendKey val="0"/>
          <c:showVal val="0"/>
          <c:showCatName val="0"/>
          <c:showSerName val="0"/>
          <c:showPercent val="0"/>
          <c:showBubbleSize val="0"/>
        </c:dLbls>
        <c:gapWidth val="182"/>
        <c:axId val="231385504"/>
        <c:axId val="231402784"/>
      </c:barChart>
      <c:catAx>
        <c:axId val="23138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1402784"/>
        <c:crosses val="autoZero"/>
        <c:auto val="1"/>
        <c:lblAlgn val="ctr"/>
        <c:lblOffset val="100"/>
        <c:noMultiLvlLbl val="0"/>
      </c:catAx>
      <c:valAx>
        <c:axId val="231402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138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[Excel45_as45_.xlsx]Pivot_Sheet!PivotTable4</c:name>
    <c:fmtId val="3"/>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Pivot_Sheet!$I$1</c:f>
              <c:strCache>
                <c:ptCount val="1"/>
                <c:pt idx="0">
                  <c:v>Total</c:v>
                </c:pt>
              </c:strCache>
            </c:strRef>
          </c:tx>
          <c:spPr>
            <a:ln w="28575" cap="rnd">
              <a:solidFill>
                <a:schemeClr val="accent1"/>
              </a:solidFill>
              <a:round/>
            </a:ln>
            <a:effectLst/>
          </c:spPr>
          <c:marker>
            <c:symbol val="none"/>
          </c:marker>
          <c:cat>
            <c:strRef>
              <c:f>Pivot_Sheet!$H$2:$H$20</c:f>
              <c:strCache>
                <c:ptCount val="18"/>
                <c:pt idx="0">
                  <c:v>BS-100</c:v>
                </c:pt>
                <c:pt idx="1">
                  <c:v>BS-399</c:v>
                </c:pt>
                <c:pt idx="2">
                  <c:v>BS-500</c:v>
                </c:pt>
                <c:pt idx="3">
                  <c:v>BS-600</c:v>
                </c:pt>
                <c:pt idx="4">
                  <c:v>BS-700</c:v>
                </c:pt>
                <c:pt idx="5">
                  <c:v>IS-305</c:v>
                </c:pt>
                <c:pt idx="6">
                  <c:v>IS-315</c:v>
                </c:pt>
                <c:pt idx="7">
                  <c:v>IS-325</c:v>
                </c:pt>
                <c:pt idx="8">
                  <c:v>IS-340</c:v>
                </c:pt>
                <c:pt idx="9">
                  <c:v>IS-345</c:v>
                </c:pt>
                <c:pt idx="10">
                  <c:v>IS-350</c:v>
                </c:pt>
                <c:pt idx="11">
                  <c:v>IS-365</c:v>
                </c:pt>
                <c:pt idx="12">
                  <c:v>IS-370</c:v>
                </c:pt>
                <c:pt idx="13">
                  <c:v>IS-375</c:v>
                </c:pt>
                <c:pt idx="14">
                  <c:v>IS-380</c:v>
                </c:pt>
                <c:pt idx="15">
                  <c:v>IS-385</c:v>
                </c:pt>
                <c:pt idx="16">
                  <c:v>IS-390</c:v>
                </c:pt>
                <c:pt idx="17">
                  <c:v>IS-500</c:v>
                </c:pt>
              </c:strCache>
            </c:strRef>
          </c:cat>
          <c:val>
            <c:numRef>
              <c:f>Pivot_Sheet!$I$2:$I$20</c:f>
              <c:numCache>
                <c:formatCode>General</c:formatCode>
                <c:ptCount val="18"/>
                <c:pt idx="0">
                  <c:v>1</c:v>
                </c:pt>
                <c:pt idx="1">
                  <c:v>10</c:v>
                </c:pt>
                <c:pt idx="2">
                  <c:v>1</c:v>
                </c:pt>
                <c:pt idx="3">
                  <c:v>1</c:v>
                </c:pt>
                <c:pt idx="4">
                  <c:v>3</c:v>
                </c:pt>
                <c:pt idx="5">
                  <c:v>3</c:v>
                </c:pt>
                <c:pt idx="6">
                  <c:v>6</c:v>
                </c:pt>
                <c:pt idx="7">
                  <c:v>1</c:v>
                </c:pt>
                <c:pt idx="8">
                  <c:v>3</c:v>
                </c:pt>
                <c:pt idx="9">
                  <c:v>2</c:v>
                </c:pt>
                <c:pt idx="10">
                  <c:v>2</c:v>
                </c:pt>
                <c:pt idx="11">
                  <c:v>3</c:v>
                </c:pt>
                <c:pt idx="12">
                  <c:v>1</c:v>
                </c:pt>
                <c:pt idx="13">
                  <c:v>1</c:v>
                </c:pt>
                <c:pt idx="14">
                  <c:v>3</c:v>
                </c:pt>
                <c:pt idx="15">
                  <c:v>1</c:v>
                </c:pt>
                <c:pt idx="16">
                  <c:v>2</c:v>
                </c:pt>
                <c:pt idx="17">
                  <c:v>3</c:v>
                </c:pt>
              </c:numCache>
            </c:numRef>
          </c:val>
          <c:smooth val="0"/>
          <c:extLst>
            <c:ext xmlns:c16="http://schemas.microsoft.com/office/drawing/2014/chart" uri="{C3380CC4-5D6E-409C-BE32-E72D297353CC}">
              <c16:uniqueId val="{00000000-5006-43FB-9D6B-8EA12F9232E6}"/>
            </c:ext>
          </c:extLst>
        </c:ser>
        <c:dLbls>
          <c:showLegendKey val="0"/>
          <c:showVal val="0"/>
          <c:showCatName val="0"/>
          <c:showSerName val="0"/>
          <c:showPercent val="0"/>
          <c:showBubbleSize val="0"/>
        </c:dLbls>
        <c:smooth val="0"/>
        <c:axId val="1242880240"/>
        <c:axId val="1242880720"/>
      </c:lineChart>
      <c:catAx>
        <c:axId val="124288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2880720"/>
        <c:crosses val="autoZero"/>
        <c:auto val="1"/>
        <c:lblAlgn val="ctr"/>
        <c:lblOffset val="100"/>
        <c:noMultiLvlLbl val="0"/>
      </c:catAx>
      <c:valAx>
        <c:axId val="124288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288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4718</xdr:rowOff>
    </xdr:from>
    <xdr:to>
      <xdr:col>30</xdr:col>
      <xdr:colOff>326571</xdr:colOff>
      <xdr:row>57</xdr:row>
      <xdr:rowOff>42818</xdr:rowOff>
    </xdr:to>
    <xdr:sp macro="" textlink="">
      <xdr:nvSpPr>
        <xdr:cNvPr id="2" name="Rectangle 1">
          <a:extLst>
            <a:ext uri="{FF2B5EF4-FFF2-40B4-BE49-F238E27FC236}">
              <a16:creationId xmlns:a16="http://schemas.microsoft.com/office/drawing/2014/main" id="{26F67E13-5AF9-F0B8-719F-34724B26A807}"/>
            </a:ext>
          </a:extLst>
        </xdr:cNvPr>
        <xdr:cNvSpPr/>
      </xdr:nvSpPr>
      <xdr:spPr>
        <a:xfrm>
          <a:off x="0" y="4718"/>
          <a:ext cx="20514623" cy="11319658"/>
        </a:xfrm>
        <a:prstGeom prst="rect">
          <a:avLst/>
        </a:prstGeom>
        <a:solidFill>
          <a:schemeClr val="tx2">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solidFill>
              <a:schemeClr val="accent1">
                <a:lumMod val="60000"/>
                <a:lumOff val="40000"/>
              </a:schemeClr>
            </a:solidFill>
          </a:endParaRPr>
        </a:p>
      </xdr:txBody>
    </xdr:sp>
    <xdr:clientData/>
  </xdr:twoCellAnchor>
  <xdr:oneCellAnchor>
    <xdr:from>
      <xdr:col>2</xdr:col>
      <xdr:colOff>0</xdr:colOff>
      <xdr:row>0</xdr:row>
      <xdr:rowOff>121920</xdr:rowOff>
    </xdr:from>
    <xdr:ext cx="184731" cy="264560"/>
    <xdr:sp macro="" textlink="">
      <xdr:nvSpPr>
        <xdr:cNvPr id="8" name="TextBox 7">
          <a:extLst>
            <a:ext uri="{FF2B5EF4-FFF2-40B4-BE49-F238E27FC236}">
              <a16:creationId xmlns:a16="http://schemas.microsoft.com/office/drawing/2014/main" id="{F831F537-E028-6D55-975B-98C42DE4000B}"/>
            </a:ext>
          </a:extLst>
        </xdr:cNvPr>
        <xdr:cNvSpPr txBox="1"/>
      </xdr:nvSpPr>
      <xdr:spPr>
        <a:xfrm>
          <a:off x="1341120" y="121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662940</xdr:colOff>
      <xdr:row>0</xdr:row>
      <xdr:rowOff>0</xdr:rowOff>
    </xdr:from>
    <xdr:to>
      <xdr:col>19</xdr:col>
      <xdr:colOff>594360</xdr:colOff>
      <xdr:row>3</xdr:row>
      <xdr:rowOff>0</xdr:rowOff>
    </xdr:to>
    <xdr:sp macro="" textlink="">
      <xdr:nvSpPr>
        <xdr:cNvPr id="10" name="Rectangle 9">
          <a:extLst>
            <a:ext uri="{FF2B5EF4-FFF2-40B4-BE49-F238E27FC236}">
              <a16:creationId xmlns:a16="http://schemas.microsoft.com/office/drawing/2014/main" id="{0E1048F2-D283-05A4-0FA3-B81D5753C72C}"/>
            </a:ext>
          </a:extLst>
        </xdr:cNvPr>
        <xdr:cNvSpPr/>
      </xdr:nvSpPr>
      <xdr:spPr>
        <a:xfrm>
          <a:off x="1334226" y="0"/>
          <a:ext cx="12014563" cy="598714"/>
        </a:xfrm>
        <a:prstGeom prst="rect">
          <a:avLst/>
        </a:prstGeom>
        <a:solidFill>
          <a:schemeClr val="tx2">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8</xdr:col>
      <xdr:colOff>464820</xdr:colOff>
      <xdr:row>0</xdr:row>
      <xdr:rowOff>99060</xdr:rowOff>
    </xdr:from>
    <xdr:to>
      <xdr:col>12</xdr:col>
      <xdr:colOff>548640</xdr:colOff>
      <xdr:row>2</xdr:row>
      <xdr:rowOff>45720</xdr:rowOff>
    </xdr:to>
    <xdr:sp macro="" textlink="">
      <xdr:nvSpPr>
        <xdr:cNvPr id="11" name="TextBox 10">
          <a:extLst>
            <a:ext uri="{FF2B5EF4-FFF2-40B4-BE49-F238E27FC236}">
              <a16:creationId xmlns:a16="http://schemas.microsoft.com/office/drawing/2014/main" id="{5FBF6DFD-29A4-5F1C-45FF-D513BCAE8329}"/>
            </a:ext>
          </a:extLst>
        </xdr:cNvPr>
        <xdr:cNvSpPr txBox="1"/>
      </xdr:nvSpPr>
      <xdr:spPr>
        <a:xfrm>
          <a:off x="5829300" y="99060"/>
          <a:ext cx="2766060" cy="342900"/>
        </a:xfrm>
        <a:prstGeom prst="rect">
          <a:avLst/>
        </a:prstGeom>
        <a:solidFill>
          <a:schemeClr val="tx2">
            <a:lumMod val="20000"/>
            <a:lumOff val="80000"/>
          </a:schemeClr>
        </a:solidFill>
        <a:ln w="9525" cmpd="sng">
          <a:solidFill>
            <a:schemeClr val="tx2">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Expenses Sheet Dashboard</a:t>
          </a:r>
        </a:p>
      </xdr:txBody>
    </xdr:sp>
    <xdr:clientData/>
  </xdr:twoCellAnchor>
  <xdr:twoCellAnchor>
    <xdr:from>
      <xdr:col>2</xdr:col>
      <xdr:colOff>47625</xdr:colOff>
      <xdr:row>0</xdr:row>
      <xdr:rowOff>76200</xdr:rowOff>
    </xdr:from>
    <xdr:to>
      <xdr:col>5</xdr:col>
      <xdr:colOff>119063</xdr:colOff>
      <xdr:row>2</xdr:row>
      <xdr:rowOff>60960</xdr:rowOff>
    </xdr:to>
    <xdr:sp macro="" textlink="Pivot_Sheet!B26">
      <xdr:nvSpPr>
        <xdr:cNvPr id="12" name="TextBox 11">
          <a:extLst>
            <a:ext uri="{FF2B5EF4-FFF2-40B4-BE49-F238E27FC236}">
              <a16:creationId xmlns:a16="http://schemas.microsoft.com/office/drawing/2014/main" id="{3063D2FA-410C-A764-A974-3186EA927D33}"/>
            </a:ext>
          </a:extLst>
        </xdr:cNvPr>
        <xdr:cNvSpPr txBox="1"/>
      </xdr:nvSpPr>
      <xdr:spPr>
        <a:xfrm>
          <a:off x="1381125" y="76200"/>
          <a:ext cx="2071688" cy="381635"/>
        </a:xfrm>
        <a:prstGeom prst="rect">
          <a:avLst/>
        </a:prstGeom>
        <a:solidFill>
          <a:schemeClr val="tx2">
            <a:lumMod val="20000"/>
            <a:lumOff val="80000"/>
          </a:schemeClr>
        </a:solidFill>
        <a:ln w="9525" cmpd="sng">
          <a:solidFill>
            <a:schemeClr val="tx2">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583631-BF3E-49C1-A535-BBE8791788DA}" type="TxLink">
            <a:rPr lang="en-US" sz="1200" b="1" i="0" u="none" strike="noStrike">
              <a:solidFill>
                <a:schemeClr val="tx1"/>
              </a:solidFill>
              <a:latin typeface="Calibri"/>
              <a:ea typeface="Calibri"/>
              <a:cs typeface="Calibri"/>
            </a:rPr>
            <a:pPr/>
            <a:t>Sum of Tax Inclusive Amount</a:t>
          </a:fld>
          <a:endParaRPr lang="en-US" b="1" i="0">
            <a:solidFill>
              <a:schemeClr val="tx1"/>
            </a:solidFill>
          </a:endParaRPr>
        </a:p>
      </xdr:txBody>
    </xdr:sp>
    <xdr:clientData/>
  </xdr:twoCellAnchor>
  <xdr:twoCellAnchor>
    <xdr:from>
      <xdr:col>5</xdr:col>
      <xdr:colOff>39687</xdr:colOff>
      <xdr:row>0</xdr:row>
      <xdr:rowOff>83820</xdr:rowOff>
    </xdr:from>
    <xdr:to>
      <xdr:col>5</xdr:col>
      <xdr:colOff>488008</xdr:colOff>
      <xdr:row>1</xdr:row>
      <xdr:rowOff>144780</xdr:rowOff>
    </xdr:to>
    <xdr:sp macro="" textlink="Pivot_Sheet!B27">
      <xdr:nvSpPr>
        <xdr:cNvPr id="13" name="TextBox 12">
          <a:extLst>
            <a:ext uri="{FF2B5EF4-FFF2-40B4-BE49-F238E27FC236}">
              <a16:creationId xmlns:a16="http://schemas.microsoft.com/office/drawing/2014/main" id="{34B84AB5-DA72-6EBA-18A8-9C9455D5395C}"/>
            </a:ext>
          </a:extLst>
        </xdr:cNvPr>
        <xdr:cNvSpPr txBox="1"/>
      </xdr:nvSpPr>
      <xdr:spPr>
        <a:xfrm>
          <a:off x="3373437" y="83820"/>
          <a:ext cx="448321" cy="259398"/>
        </a:xfrm>
        <a:prstGeom prst="rect">
          <a:avLst/>
        </a:prstGeom>
        <a:solidFill>
          <a:schemeClr val="tx2">
            <a:lumMod val="20000"/>
            <a:lumOff val="80000"/>
          </a:schemeClr>
        </a:solidFill>
        <a:ln w="9525" cmpd="sng">
          <a:solidFill>
            <a:schemeClr val="tx2">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5C3F19-5C76-4819-A277-BA7D6BAAB366}" type="TxLink">
            <a:rPr lang="en-US" sz="1200" b="1" i="0" u="none" strike="noStrike">
              <a:solidFill>
                <a:srgbClr val="000000"/>
              </a:solidFill>
              <a:latin typeface="Calibri"/>
              <a:ea typeface="Calibri"/>
              <a:cs typeface="Calibri"/>
            </a:rPr>
            <a:pPr/>
            <a:t>83693</a:t>
          </a:fld>
          <a:endParaRPr lang="en-IN" sz="1100" b="1"/>
        </a:p>
      </xdr:txBody>
    </xdr:sp>
    <xdr:clientData/>
  </xdr:twoCellAnchor>
  <xdr:twoCellAnchor>
    <xdr:from>
      <xdr:col>15</xdr:col>
      <xdr:colOff>662940</xdr:colOff>
      <xdr:row>0</xdr:row>
      <xdr:rowOff>53340</xdr:rowOff>
    </xdr:from>
    <xdr:to>
      <xdr:col>18</xdr:col>
      <xdr:colOff>15240</xdr:colOff>
      <xdr:row>1</xdr:row>
      <xdr:rowOff>152400</xdr:rowOff>
    </xdr:to>
    <xdr:sp macro="" textlink="Pivot_Sheet!D14">
      <xdr:nvSpPr>
        <xdr:cNvPr id="15" name="TextBox 14">
          <a:extLst>
            <a:ext uri="{FF2B5EF4-FFF2-40B4-BE49-F238E27FC236}">
              <a16:creationId xmlns:a16="http://schemas.microsoft.com/office/drawing/2014/main" id="{BC580864-0F12-9E6E-E41E-7913EE34C119}"/>
            </a:ext>
          </a:extLst>
        </xdr:cNvPr>
        <xdr:cNvSpPr txBox="1"/>
      </xdr:nvSpPr>
      <xdr:spPr>
        <a:xfrm>
          <a:off x="10721340" y="53340"/>
          <a:ext cx="1363980" cy="297180"/>
        </a:xfrm>
        <a:prstGeom prst="rect">
          <a:avLst/>
        </a:prstGeom>
        <a:solidFill>
          <a:schemeClr val="tx2">
            <a:lumMod val="20000"/>
            <a:lumOff val="80000"/>
          </a:schemeClr>
        </a:solidFill>
        <a:ln w="9525" cmpd="sng">
          <a:solidFill>
            <a:schemeClr val="tx2">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08B3F0-6F7E-472B-8B7C-F746CCD0B6D1}" type="TxLink">
            <a:rPr lang="en-US" sz="1200" b="1" i="0" u="none" strike="noStrike">
              <a:solidFill>
                <a:srgbClr val="000000"/>
              </a:solidFill>
              <a:latin typeface="Calibri"/>
              <a:ea typeface="Calibri"/>
              <a:cs typeface="Calibri"/>
            </a:rPr>
            <a:pPr/>
            <a:t>Count of Supplier</a:t>
          </a:fld>
          <a:endParaRPr lang="en-IN" sz="1100" b="1"/>
        </a:p>
      </xdr:txBody>
    </xdr:sp>
    <xdr:clientData/>
  </xdr:twoCellAnchor>
  <xdr:twoCellAnchor>
    <xdr:from>
      <xdr:col>17</xdr:col>
      <xdr:colOff>617220</xdr:colOff>
      <xdr:row>0</xdr:row>
      <xdr:rowOff>68580</xdr:rowOff>
    </xdr:from>
    <xdr:to>
      <xdr:col>18</xdr:col>
      <xdr:colOff>609600</xdr:colOff>
      <xdr:row>1</xdr:row>
      <xdr:rowOff>144780</xdr:rowOff>
    </xdr:to>
    <xdr:sp macro="" textlink="Pivot_Sheet!D15">
      <xdr:nvSpPr>
        <xdr:cNvPr id="17" name="TextBox 16">
          <a:extLst>
            <a:ext uri="{FF2B5EF4-FFF2-40B4-BE49-F238E27FC236}">
              <a16:creationId xmlns:a16="http://schemas.microsoft.com/office/drawing/2014/main" id="{50E16599-2523-3D15-3E4E-BBDA48F5AD55}"/>
            </a:ext>
          </a:extLst>
        </xdr:cNvPr>
        <xdr:cNvSpPr txBox="1"/>
      </xdr:nvSpPr>
      <xdr:spPr>
        <a:xfrm>
          <a:off x="12016740" y="68580"/>
          <a:ext cx="662940" cy="274320"/>
        </a:xfrm>
        <a:prstGeom prst="rect">
          <a:avLst/>
        </a:prstGeom>
        <a:solidFill>
          <a:schemeClr val="tx2">
            <a:lumMod val="20000"/>
            <a:lumOff val="80000"/>
          </a:schemeClr>
        </a:solidFill>
        <a:ln w="9525" cmpd="sng">
          <a:solidFill>
            <a:schemeClr val="tx2">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B913B6-7ADF-42F2-8707-004F79580072}" type="TxLink">
            <a:rPr lang="en-US" sz="1200" b="1" i="0" u="none" strike="noStrike">
              <a:solidFill>
                <a:srgbClr val="000000"/>
              </a:solidFill>
              <a:latin typeface="Calibri"/>
              <a:ea typeface="Calibri"/>
              <a:cs typeface="Calibri"/>
            </a:rPr>
            <a:pPr/>
            <a:t>47</a:t>
          </a:fld>
          <a:endParaRPr lang="en-US" b="1"/>
        </a:p>
      </xdr:txBody>
    </xdr:sp>
    <xdr:clientData/>
  </xdr:twoCellAnchor>
  <xdr:twoCellAnchor editAs="oneCell">
    <xdr:from>
      <xdr:col>0</xdr:col>
      <xdr:colOff>156026</xdr:colOff>
      <xdr:row>32</xdr:row>
      <xdr:rowOff>157713</xdr:rowOff>
    </xdr:from>
    <xdr:to>
      <xdr:col>6</xdr:col>
      <xdr:colOff>627864</xdr:colOff>
      <xdr:row>42</xdr:row>
      <xdr:rowOff>159775</xdr:rowOff>
    </xdr:to>
    <mc:AlternateContent xmlns:mc="http://schemas.openxmlformats.org/markup-compatibility/2006">
      <mc:Choice xmlns:a14="http://schemas.microsoft.com/office/drawing/2010/main" Requires="a14">
        <xdr:graphicFrame macro="">
          <xdr:nvGraphicFramePr>
            <xdr:cNvPr id="20" name="Reference">
              <a:extLst>
                <a:ext uri="{FF2B5EF4-FFF2-40B4-BE49-F238E27FC236}">
                  <a16:creationId xmlns:a16="http://schemas.microsoft.com/office/drawing/2014/main" id="{2B6C6B1C-54F4-34EF-54C6-AB5257316745}"/>
                </a:ext>
              </a:extLst>
            </xdr:cNvPr>
            <xdr:cNvGraphicFramePr/>
          </xdr:nvGraphicFramePr>
          <xdr:xfrm>
            <a:off x="0" y="0"/>
            <a:ext cx="0" cy="0"/>
          </xdr:xfrm>
          <a:graphic>
            <a:graphicData uri="http://schemas.microsoft.com/office/drawing/2010/slicer">
              <sle:slicer xmlns:sle="http://schemas.microsoft.com/office/drawing/2010/slicer" name="Reference"/>
            </a:graphicData>
          </a:graphic>
        </xdr:graphicFrame>
      </mc:Choice>
      <mc:Fallback>
        <xdr:sp macro="" textlink="">
          <xdr:nvSpPr>
            <xdr:cNvPr id="0" name=""/>
            <xdr:cNvSpPr>
              <a:spLocks noTextEdit="1"/>
            </xdr:cNvSpPr>
          </xdr:nvSpPr>
          <xdr:spPr>
            <a:xfrm>
              <a:off x="156026" y="6574555"/>
              <a:ext cx="4514449" cy="200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7899</xdr:colOff>
      <xdr:row>4</xdr:row>
      <xdr:rowOff>21140</xdr:rowOff>
    </xdr:from>
    <xdr:to>
      <xdr:col>6</xdr:col>
      <xdr:colOff>498787</xdr:colOff>
      <xdr:row>10</xdr:row>
      <xdr:rowOff>152768</xdr:rowOff>
    </xdr:to>
    <mc:AlternateContent xmlns:mc="http://schemas.openxmlformats.org/markup-compatibility/2006">
      <mc:Choice xmlns:a14="http://schemas.microsoft.com/office/drawing/2010/main" Requires="a14">
        <xdr:graphicFrame macro="">
          <xdr:nvGraphicFramePr>
            <xdr:cNvPr id="22" name="Bank Code">
              <a:extLst>
                <a:ext uri="{FF2B5EF4-FFF2-40B4-BE49-F238E27FC236}">
                  <a16:creationId xmlns:a16="http://schemas.microsoft.com/office/drawing/2014/main" id="{1FC447A7-D8AE-39F3-03A2-EE1AE3203C59}"/>
                </a:ext>
              </a:extLst>
            </xdr:cNvPr>
            <xdr:cNvGraphicFramePr/>
          </xdr:nvGraphicFramePr>
          <xdr:xfrm>
            <a:off x="0" y="0"/>
            <a:ext cx="0" cy="0"/>
          </xdr:xfrm>
          <a:graphic>
            <a:graphicData uri="http://schemas.microsoft.com/office/drawing/2010/slicer">
              <sle:slicer xmlns:sle="http://schemas.microsoft.com/office/drawing/2010/slicer" name="Bank Code"/>
            </a:graphicData>
          </a:graphic>
        </xdr:graphicFrame>
      </mc:Choice>
      <mc:Fallback>
        <xdr:sp macro="" textlink="">
          <xdr:nvSpPr>
            <xdr:cNvPr id="0" name=""/>
            <xdr:cNvSpPr>
              <a:spLocks noTextEdit="1"/>
            </xdr:cNvSpPr>
          </xdr:nvSpPr>
          <xdr:spPr>
            <a:xfrm>
              <a:off x="2702973" y="823245"/>
              <a:ext cx="1838425" cy="1334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471805</xdr:colOff>
      <xdr:row>4</xdr:row>
      <xdr:rowOff>25082</xdr:rowOff>
    </xdr:from>
    <xdr:to>
      <xdr:col>21</xdr:col>
      <xdr:colOff>353695</xdr:colOff>
      <xdr:row>17</xdr:row>
      <xdr:rowOff>193039</xdr:rowOff>
    </xdr:to>
    <xdr:graphicFrame macro="">
      <xdr:nvGraphicFramePr>
        <xdr:cNvPr id="24" name="Chart 8">
          <a:extLst>
            <a:ext uri="{FF2B5EF4-FFF2-40B4-BE49-F238E27FC236}">
              <a16:creationId xmlns:a16="http://schemas.microsoft.com/office/drawing/2014/main" id="{060E4C23-5CC6-93BB-612E-0E42180A4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251778</xdr:colOff>
      <xdr:row>4</xdr:row>
      <xdr:rowOff>26036</xdr:rowOff>
    </xdr:from>
    <xdr:to>
      <xdr:col>14</xdr:col>
      <xdr:colOff>129858</xdr:colOff>
      <xdr:row>17</xdr:row>
      <xdr:rowOff>193993</xdr:rowOff>
    </xdr:to>
    <xdr:graphicFrame macro="">
      <xdr:nvGraphicFramePr>
        <xdr:cNvPr id="25" name="Chart 9">
          <a:extLst>
            <a:ext uri="{FF2B5EF4-FFF2-40B4-BE49-F238E27FC236}">
              <a16:creationId xmlns:a16="http://schemas.microsoft.com/office/drawing/2014/main" id="{308BD2C3-1CFF-AD36-D778-C2D6CBAD6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219157</xdr:colOff>
      <xdr:row>4</xdr:row>
      <xdr:rowOff>22098</xdr:rowOff>
    </xdr:from>
    <xdr:to>
      <xdr:col>3</xdr:col>
      <xdr:colOff>41876</xdr:colOff>
      <xdr:row>9</xdr:row>
      <xdr:rowOff>107783</xdr:rowOff>
    </xdr:to>
    <mc:AlternateContent xmlns:mc="http://schemas.openxmlformats.org/markup-compatibility/2006">
      <mc:Choice xmlns:a14="http://schemas.microsoft.com/office/drawing/2010/main" Requires="a14">
        <xdr:graphicFrame macro="">
          <xdr:nvGraphicFramePr>
            <xdr:cNvPr id="3" name="Text Code">
              <a:extLst>
                <a:ext uri="{FF2B5EF4-FFF2-40B4-BE49-F238E27FC236}">
                  <a16:creationId xmlns:a16="http://schemas.microsoft.com/office/drawing/2014/main" id="{9EA58A4C-84FE-5621-717C-0BC37871A235}"/>
                </a:ext>
              </a:extLst>
            </xdr:cNvPr>
            <xdr:cNvGraphicFramePr/>
          </xdr:nvGraphicFramePr>
          <xdr:xfrm>
            <a:off x="0" y="0"/>
            <a:ext cx="0" cy="0"/>
          </xdr:xfrm>
          <a:graphic>
            <a:graphicData uri="http://schemas.microsoft.com/office/drawing/2010/slicer">
              <sle:slicer xmlns:sle="http://schemas.microsoft.com/office/drawing/2010/slicer" name="Text Code"/>
            </a:graphicData>
          </a:graphic>
        </xdr:graphicFrame>
      </mc:Choice>
      <mc:Fallback>
        <xdr:sp macro="" textlink="">
          <xdr:nvSpPr>
            <xdr:cNvPr id="0" name=""/>
            <xdr:cNvSpPr>
              <a:spLocks noTextEdit="1"/>
            </xdr:cNvSpPr>
          </xdr:nvSpPr>
          <xdr:spPr>
            <a:xfrm>
              <a:off x="219157" y="824203"/>
              <a:ext cx="1844024" cy="1088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183931</xdr:colOff>
      <xdr:row>18</xdr:row>
      <xdr:rowOff>187288</xdr:rowOff>
    </xdr:from>
    <xdr:to>
      <xdr:col>21</xdr:col>
      <xdr:colOff>525517</xdr:colOff>
      <xdr:row>42</xdr:row>
      <xdr:rowOff>142875</xdr:rowOff>
    </xdr:to>
    <xdr:graphicFrame macro="">
      <xdr:nvGraphicFramePr>
        <xdr:cNvPr id="4" name="Chart 3">
          <a:extLst>
            <a:ext uri="{FF2B5EF4-FFF2-40B4-BE49-F238E27FC236}">
              <a16:creationId xmlns:a16="http://schemas.microsoft.com/office/drawing/2014/main" id="{09E08CA3-ADFB-44D7-93F6-F5E245268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43731</xdr:colOff>
      <xdr:row>12</xdr:row>
      <xdr:rowOff>128337</xdr:rowOff>
    </xdr:from>
    <xdr:to>
      <xdr:col>6</xdr:col>
      <xdr:colOff>573120</xdr:colOff>
      <xdr:row>32</xdr:row>
      <xdr:rowOff>0</xdr:rowOff>
    </xdr:to>
    <xdr:graphicFrame macro="">
      <xdr:nvGraphicFramePr>
        <xdr:cNvPr id="5" name="Chart 4">
          <a:extLst>
            <a:ext uri="{FF2B5EF4-FFF2-40B4-BE49-F238E27FC236}">
              <a16:creationId xmlns:a16="http://schemas.microsoft.com/office/drawing/2014/main" id="{82A2C539-BFC0-4208-BB3E-D7D4E2AF6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57.458638310185" createdVersion="8" refreshedVersion="8" minRefreshableVersion="3" recordCount="47" xr:uid="{004FC001-D5E3-4FC1-896E-AE4E391EE9CD}">
  <cacheSource type="worksheet">
    <worksheetSource ref="A1:I48" sheet="Expenses sheet "/>
  </cacheSource>
  <cacheFields count="11">
    <cacheField name="Document Date" numFmtId="14">
      <sharedItems containsSemiMixedTypes="0" containsNonDate="0" containsDate="1" containsString="0" minDate="2011-02-13T18:30:00" maxDate="2011-05-25T18:30:00"/>
    </cacheField>
    <cacheField name="Supplier" numFmtId="0">
      <sharedItems count="17">
        <s v="XY Solutions"/>
        <s v="IS Communications"/>
        <s v="Newscorp"/>
        <s v="EAG Brokers"/>
        <s v="Capital Bank"/>
        <s v="IAS Accountants"/>
        <s v="Interflora"/>
        <s v="QQ International"/>
        <s v="Example (Pty) Ltd"/>
        <s v="HP Finance"/>
        <s v="PR Properties"/>
        <s v="Inland Revenue"/>
        <s v="Furniture City"/>
        <s v="GF Supplies"/>
        <s v="Training Inc"/>
        <s v="City Lodge"/>
        <s v="Waltons"/>
      </sharedItems>
    </cacheField>
    <cacheField name="Reference" numFmtId="0">
      <sharedItems count="15">
        <s v="S77782"/>
        <s v="Invoice EXP22"/>
        <s v="I381119"/>
        <s v="Debit Order"/>
        <s v="Bank Statement"/>
        <s v="Invoice"/>
        <s v="Cash"/>
        <s v="TR6998"/>
        <s v="Transfer"/>
        <s v="Payroll"/>
        <s v="Invoice EXP23"/>
        <s v="Return"/>
        <s v="IN1179"/>
        <s v="Invoice EXP24"/>
        <s v="S50037"/>
      </sharedItems>
    </cacheField>
    <cacheField name="Description" numFmtId="0">
      <sharedItems count="20">
        <s v="Opening Balance"/>
        <s v="Internet Service Provider"/>
        <s v="Subscriptions"/>
        <s v="Insurance"/>
        <s v="Service Fees"/>
        <s v="Bookkeeping"/>
        <s v="Flowers"/>
        <s v="Parking"/>
        <s v="Inter Account Transfer"/>
        <s v="Salaries"/>
        <s v="Capital repayment"/>
        <s v="Interest paid"/>
        <s v="Rent"/>
        <s v="Petty Cash Reimbursement"/>
        <s v="Sales Tax"/>
        <s v="Furniture"/>
        <s v="Consumables"/>
        <s v="Course"/>
        <s v="Accommodation"/>
        <s v="Stationery"/>
      </sharedItems>
    </cacheField>
    <cacheField name="Tax Inclusive Amount" numFmtId="0">
      <sharedItems containsSemiMixedTypes="0" containsString="0" containsNumber="1" containsInteger="1" minValue="-20000" maxValue="20000"/>
    </cacheField>
    <cacheField name="Text Code" numFmtId="0">
      <sharedItems count="2">
        <s v="A"/>
        <s v="E"/>
      </sharedItems>
    </cacheField>
    <cacheField name="Bank Code" numFmtId="0">
      <sharedItems count="3">
        <s v="B1"/>
        <s v="B2"/>
        <s v="PC"/>
      </sharedItems>
    </cacheField>
    <cacheField name="Account Code" numFmtId="0">
      <sharedItems count="18">
        <s v="BS-500"/>
        <s v="IS-380"/>
        <s v="IS-375"/>
        <s v="IS-340"/>
        <s v="IS-315"/>
        <s v="IS-305"/>
        <s v="IS-345"/>
        <s v="IS-390"/>
        <s v="BS-399"/>
        <s v="IS-365"/>
        <s v="BS-700"/>
        <s v="IS-500"/>
        <s v="IS-350"/>
        <s v="BS-600"/>
        <s v="BS-100"/>
        <s v="IS-325"/>
        <s v="IS-385"/>
        <s v="IS-370"/>
      </sharedItems>
    </cacheField>
    <cacheField name="Payment Date" numFmtId="14">
      <sharedItems containsSemiMixedTypes="0" containsNonDate="0" containsDate="1" containsString="0" minDate="2011-03-01T18:30:00" maxDate="2011-06-05T18:30:00" count="27">
        <d v="2011-03-01T18:30:00"/>
        <d v="2011-03-30T18:30:00"/>
        <d v="2011-03-31T18:30:00"/>
        <d v="2011-03-04T18:30:00"/>
        <d v="2011-03-14T18:30:00"/>
        <d v="2011-04-01T18:30:00"/>
        <d v="2011-03-17T18:30:00"/>
        <d v="2011-03-19T18:30:00"/>
        <d v="2011-03-25T18:30:00"/>
        <d v="2011-04-30T18:30:00"/>
        <d v="2011-04-04T18:30:00"/>
        <d v="2011-04-11T18:30:00"/>
        <d v="2011-04-14T18:30:00"/>
        <d v="2011-05-02T18:30:00"/>
        <d v="2011-04-19T18:30:00"/>
        <d v="2011-04-24T18:30:00"/>
        <d v="2011-04-25T18:30:00"/>
        <d v="2011-05-25T18:30:00"/>
        <d v="2011-05-28T18:30:00"/>
        <d v="2011-04-29T18:30:00"/>
        <d v="2011-05-30T18:30:00"/>
        <d v="2011-05-04T18:30:00"/>
        <d v="2011-05-06T18:30:00"/>
        <d v="2011-06-05T18:30:00"/>
        <d v="2011-05-14T18:30:00"/>
        <d v="2011-06-01T18:30:00"/>
        <d v="2011-05-19T18:30:00"/>
      </sharedItems>
      <fieldGroup par="10"/>
    </cacheField>
    <cacheField name="Days (Payment Date)" numFmtId="0" databaseField="0">
      <fieldGroup base="8">
        <rangePr groupBy="days" startDate="2011-03-01T18:30:00" endDate="2011-06-05T18:30:00"/>
        <groupItems count="368">
          <s v="&lt;01-03-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06-2011"/>
        </groupItems>
      </fieldGroup>
    </cacheField>
    <cacheField name="Months (Payment Date)" numFmtId="0" databaseField="0">
      <fieldGroup base="8">
        <rangePr groupBy="months" startDate="2011-03-01T18:30:00" endDate="2011-06-05T18:30:00"/>
        <groupItems count="14">
          <s v="&lt;01-03-2011"/>
          <s v="Jan"/>
          <s v="Feb"/>
          <s v="Mar"/>
          <s v="Apr"/>
          <s v="May"/>
          <s v="Jun"/>
          <s v="Jul"/>
          <s v="Aug"/>
          <s v="Sep"/>
          <s v="Oct"/>
          <s v="Nov"/>
          <s v="Dec"/>
          <s v="&gt;05-06-2011"/>
        </groupItems>
      </fieldGroup>
    </cacheField>
  </cacheFields>
  <extLst>
    <ext xmlns:x14="http://schemas.microsoft.com/office/spreadsheetml/2009/9/main" uri="{725AE2AE-9491-48be-B2B4-4EB974FC3084}">
      <x14:pivotCacheDefinition pivotCacheId="986009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d v="2011-02-13T18:30:00"/>
    <x v="0"/>
    <x v="0"/>
    <x v="0"/>
    <n v="5100"/>
    <x v="0"/>
    <x v="0"/>
    <x v="0"/>
    <x v="0"/>
  </r>
  <r>
    <d v="2011-02-28T18:30:00"/>
    <x v="1"/>
    <x v="1"/>
    <x v="1"/>
    <n v="179"/>
    <x v="0"/>
    <x v="0"/>
    <x v="1"/>
    <x v="1"/>
  </r>
  <r>
    <d v="2011-03-01T18:30:00"/>
    <x v="2"/>
    <x v="2"/>
    <x v="2"/>
    <n v="478"/>
    <x v="0"/>
    <x v="0"/>
    <x v="2"/>
    <x v="2"/>
  </r>
  <r>
    <d v="2011-03-04T18:30:00"/>
    <x v="3"/>
    <x v="3"/>
    <x v="3"/>
    <n v="340"/>
    <x v="0"/>
    <x v="0"/>
    <x v="3"/>
    <x v="3"/>
  </r>
  <r>
    <d v="2011-03-14T18:30:00"/>
    <x v="4"/>
    <x v="4"/>
    <x v="4"/>
    <n v="50"/>
    <x v="0"/>
    <x v="0"/>
    <x v="4"/>
    <x v="4"/>
  </r>
  <r>
    <d v="2011-03-14T18:30:00"/>
    <x v="4"/>
    <x v="4"/>
    <x v="4"/>
    <n v="35"/>
    <x v="0"/>
    <x v="1"/>
    <x v="4"/>
    <x v="4"/>
  </r>
  <r>
    <d v="2011-03-14T18:30:00"/>
    <x v="5"/>
    <x v="5"/>
    <x v="5"/>
    <n v="1000"/>
    <x v="0"/>
    <x v="0"/>
    <x v="5"/>
    <x v="5"/>
  </r>
  <r>
    <d v="2011-03-14T18:30:00"/>
    <x v="6"/>
    <x v="6"/>
    <x v="6"/>
    <n v="90"/>
    <x v="0"/>
    <x v="2"/>
    <x v="6"/>
    <x v="4"/>
  </r>
  <r>
    <d v="2011-03-17T18:30:00"/>
    <x v="7"/>
    <x v="7"/>
    <x v="7"/>
    <n v="200"/>
    <x v="0"/>
    <x v="0"/>
    <x v="7"/>
    <x v="6"/>
  </r>
  <r>
    <d v="2011-03-19T18:30:00"/>
    <x v="8"/>
    <x v="8"/>
    <x v="8"/>
    <n v="-15000"/>
    <x v="1"/>
    <x v="1"/>
    <x v="8"/>
    <x v="7"/>
  </r>
  <r>
    <d v="2011-03-19T18:30:00"/>
    <x v="8"/>
    <x v="8"/>
    <x v="8"/>
    <n v="15000"/>
    <x v="1"/>
    <x v="0"/>
    <x v="8"/>
    <x v="7"/>
  </r>
  <r>
    <d v="2011-03-25T18:30:00"/>
    <x v="8"/>
    <x v="9"/>
    <x v="9"/>
    <n v="13000"/>
    <x v="1"/>
    <x v="1"/>
    <x v="9"/>
    <x v="8"/>
  </r>
  <r>
    <d v="2011-03-25T18:30:00"/>
    <x v="9"/>
    <x v="3"/>
    <x v="10"/>
    <n v="220"/>
    <x v="1"/>
    <x v="0"/>
    <x v="10"/>
    <x v="8"/>
  </r>
  <r>
    <d v="2011-03-25T18:30:00"/>
    <x v="9"/>
    <x v="3"/>
    <x v="11"/>
    <n v="100"/>
    <x v="1"/>
    <x v="0"/>
    <x v="11"/>
    <x v="8"/>
  </r>
  <r>
    <d v="2011-03-25T18:30:00"/>
    <x v="10"/>
    <x v="3"/>
    <x v="12"/>
    <n v="6400"/>
    <x v="0"/>
    <x v="0"/>
    <x v="12"/>
    <x v="8"/>
  </r>
  <r>
    <d v="2011-03-30T18:30:00"/>
    <x v="8"/>
    <x v="4"/>
    <x v="13"/>
    <n v="100"/>
    <x v="1"/>
    <x v="0"/>
    <x v="8"/>
    <x v="1"/>
  </r>
  <r>
    <d v="2011-03-30T18:30:00"/>
    <x v="8"/>
    <x v="4"/>
    <x v="13"/>
    <n v="-100"/>
    <x v="1"/>
    <x v="2"/>
    <x v="8"/>
    <x v="1"/>
  </r>
  <r>
    <d v="2011-03-31T18:30:00"/>
    <x v="1"/>
    <x v="10"/>
    <x v="1"/>
    <n v="179"/>
    <x v="0"/>
    <x v="0"/>
    <x v="1"/>
    <x v="9"/>
  </r>
  <r>
    <d v="2011-04-04T18:30:00"/>
    <x v="3"/>
    <x v="3"/>
    <x v="3"/>
    <n v="340"/>
    <x v="0"/>
    <x v="0"/>
    <x v="3"/>
    <x v="10"/>
  </r>
  <r>
    <d v="2011-04-11T18:30:00"/>
    <x v="6"/>
    <x v="6"/>
    <x v="6"/>
    <n v="87"/>
    <x v="0"/>
    <x v="2"/>
    <x v="6"/>
    <x v="11"/>
  </r>
  <r>
    <d v="2011-04-14T18:30:00"/>
    <x v="4"/>
    <x v="4"/>
    <x v="4"/>
    <n v="80"/>
    <x v="0"/>
    <x v="0"/>
    <x v="4"/>
    <x v="12"/>
  </r>
  <r>
    <d v="2011-04-14T18:30:00"/>
    <x v="4"/>
    <x v="4"/>
    <x v="4"/>
    <n v="35"/>
    <x v="0"/>
    <x v="1"/>
    <x v="4"/>
    <x v="12"/>
  </r>
  <r>
    <d v="2011-04-14T18:30:00"/>
    <x v="5"/>
    <x v="5"/>
    <x v="5"/>
    <n v="1000"/>
    <x v="0"/>
    <x v="0"/>
    <x v="5"/>
    <x v="13"/>
  </r>
  <r>
    <d v="2011-04-19T18:30:00"/>
    <x v="8"/>
    <x v="8"/>
    <x v="8"/>
    <n v="-20000"/>
    <x v="1"/>
    <x v="1"/>
    <x v="8"/>
    <x v="14"/>
  </r>
  <r>
    <d v="2011-04-19T18:30:00"/>
    <x v="8"/>
    <x v="8"/>
    <x v="8"/>
    <n v="20000"/>
    <x v="1"/>
    <x v="0"/>
    <x v="8"/>
    <x v="14"/>
  </r>
  <r>
    <d v="2011-04-24T18:30:00"/>
    <x v="11"/>
    <x v="11"/>
    <x v="14"/>
    <n v="1300"/>
    <x v="1"/>
    <x v="0"/>
    <x v="13"/>
    <x v="15"/>
  </r>
  <r>
    <d v="2011-04-25T18:30:00"/>
    <x v="8"/>
    <x v="9"/>
    <x v="9"/>
    <n v="20000"/>
    <x v="1"/>
    <x v="1"/>
    <x v="9"/>
    <x v="16"/>
  </r>
  <r>
    <d v="2011-04-25T18:30:00"/>
    <x v="12"/>
    <x v="5"/>
    <x v="15"/>
    <n v="3000"/>
    <x v="0"/>
    <x v="0"/>
    <x v="14"/>
    <x v="17"/>
  </r>
  <r>
    <d v="2011-04-25T18:30:00"/>
    <x v="9"/>
    <x v="3"/>
    <x v="10"/>
    <n v="220"/>
    <x v="1"/>
    <x v="0"/>
    <x v="10"/>
    <x v="16"/>
  </r>
  <r>
    <d v="2011-04-25T18:30:00"/>
    <x v="9"/>
    <x v="3"/>
    <x v="11"/>
    <n v="100"/>
    <x v="1"/>
    <x v="0"/>
    <x v="11"/>
    <x v="16"/>
  </r>
  <r>
    <d v="2011-04-25T18:30:00"/>
    <x v="10"/>
    <x v="3"/>
    <x v="12"/>
    <n v="6400"/>
    <x v="0"/>
    <x v="0"/>
    <x v="12"/>
    <x v="16"/>
  </r>
  <r>
    <d v="2011-04-28T18:30:00"/>
    <x v="13"/>
    <x v="12"/>
    <x v="16"/>
    <n v="41"/>
    <x v="0"/>
    <x v="2"/>
    <x v="15"/>
    <x v="18"/>
  </r>
  <r>
    <d v="2011-04-29T18:30:00"/>
    <x v="8"/>
    <x v="4"/>
    <x v="13"/>
    <n v="100"/>
    <x v="1"/>
    <x v="0"/>
    <x v="8"/>
    <x v="19"/>
  </r>
  <r>
    <d v="2011-04-29T18:30:00"/>
    <x v="8"/>
    <x v="4"/>
    <x v="13"/>
    <n v="-100"/>
    <x v="1"/>
    <x v="2"/>
    <x v="8"/>
    <x v="19"/>
  </r>
  <r>
    <d v="2011-04-30T18:30:00"/>
    <x v="1"/>
    <x v="13"/>
    <x v="1"/>
    <n v="179"/>
    <x v="0"/>
    <x v="0"/>
    <x v="1"/>
    <x v="20"/>
  </r>
  <r>
    <d v="2011-04-30T18:30:00"/>
    <x v="14"/>
    <x v="5"/>
    <x v="17"/>
    <n v="220"/>
    <x v="0"/>
    <x v="0"/>
    <x v="16"/>
    <x v="20"/>
  </r>
  <r>
    <d v="2011-05-04T18:30:00"/>
    <x v="3"/>
    <x v="3"/>
    <x v="3"/>
    <n v="340"/>
    <x v="0"/>
    <x v="0"/>
    <x v="3"/>
    <x v="21"/>
  </r>
  <r>
    <d v="2011-05-06T18:30:00"/>
    <x v="15"/>
    <x v="14"/>
    <x v="18"/>
    <n v="563"/>
    <x v="0"/>
    <x v="0"/>
    <x v="7"/>
    <x v="22"/>
  </r>
  <r>
    <d v="2011-05-06T18:30:00"/>
    <x v="16"/>
    <x v="5"/>
    <x v="19"/>
    <n v="982"/>
    <x v="0"/>
    <x v="0"/>
    <x v="17"/>
    <x v="23"/>
  </r>
  <r>
    <d v="2011-05-14T18:30:00"/>
    <x v="4"/>
    <x v="4"/>
    <x v="4"/>
    <n v="80"/>
    <x v="0"/>
    <x v="0"/>
    <x v="4"/>
    <x v="24"/>
  </r>
  <r>
    <d v="2011-05-14T18:30:00"/>
    <x v="4"/>
    <x v="4"/>
    <x v="4"/>
    <n v="35"/>
    <x v="0"/>
    <x v="1"/>
    <x v="4"/>
    <x v="24"/>
  </r>
  <r>
    <d v="2011-05-14T18:30:00"/>
    <x v="5"/>
    <x v="5"/>
    <x v="5"/>
    <n v="1000"/>
    <x v="0"/>
    <x v="0"/>
    <x v="5"/>
    <x v="25"/>
  </r>
  <r>
    <d v="2011-05-19T18:30:00"/>
    <x v="8"/>
    <x v="8"/>
    <x v="8"/>
    <n v="-20000"/>
    <x v="1"/>
    <x v="1"/>
    <x v="8"/>
    <x v="26"/>
  </r>
  <r>
    <d v="2011-05-19T18:30:00"/>
    <x v="8"/>
    <x v="8"/>
    <x v="8"/>
    <n v="20000"/>
    <x v="1"/>
    <x v="0"/>
    <x v="8"/>
    <x v="26"/>
  </r>
  <r>
    <d v="2011-05-25T18:30:00"/>
    <x v="8"/>
    <x v="9"/>
    <x v="9"/>
    <n v="20000"/>
    <x v="1"/>
    <x v="1"/>
    <x v="9"/>
    <x v="17"/>
  </r>
  <r>
    <d v="2011-05-25T18:30:00"/>
    <x v="9"/>
    <x v="3"/>
    <x v="10"/>
    <n v="220"/>
    <x v="1"/>
    <x v="0"/>
    <x v="10"/>
    <x v="17"/>
  </r>
  <r>
    <d v="2011-05-25T18:30:00"/>
    <x v="9"/>
    <x v="3"/>
    <x v="11"/>
    <n v="100"/>
    <x v="1"/>
    <x v="0"/>
    <x v="11"/>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D352C6-1906-490E-90A5-77FC1BC039F0}" name="PivotTable4"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H1:I20" firstHeaderRow="1" firstDataRow="1" firstDataCol="1"/>
  <pivotFields count="11">
    <pivotField numFmtId="14" showAll="0"/>
    <pivotField showAll="0"/>
    <pivotField showAll="0">
      <items count="16">
        <item x="4"/>
        <item x="6"/>
        <item x="3"/>
        <item x="2"/>
        <item x="12"/>
        <item x="5"/>
        <item x="1"/>
        <item x="10"/>
        <item x="13"/>
        <item x="9"/>
        <item x="11"/>
        <item x="14"/>
        <item x="0"/>
        <item x="7"/>
        <item x="8"/>
        <item t="default"/>
      </items>
    </pivotField>
    <pivotField showAll="0"/>
    <pivotField dataField="1" showAll="0"/>
    <pivotField showAll="0">
      <items count="3">
        <item x="0"/>
        <item x="1"/>
        <item t="default"/>
      </items>
    </pivotField>
    <pivotField showAll="0">
      <items count="4">
        <item x="0"/>
        <item x="1"/>
        <item x="2"/>
        <item t="default"/>
      </items>
    </pivotField>
    <pivotField axis="axisRow" showAll="0">
      <items count="19">
        <item x="14"/>
        <item x="8"/>
        <item x="0"/>
        <item x="13"/>
        <item x="10"/>
        <item x="5"/>
        <item x="4"/>
        <item x="15"/>
        <item x="3"/>
        <item x="6"/>
        <item x="12"/>
        <item x="9"/>
        <item x="17"/>
        <item x="2"/>
        <item x="1"/>
        <item x="16"/>
        <item x="7"/>
        <item x="11"/>
        <item t="default"/>
      </items>
    </pivotField>
    <pivotField numFmtId="14" showAll="0">
      <items count="28">
        <item x="0"/>
        <item x="3"/>
        <item x="4"/>
        <item x="6"/>
        <item x="7"/>
        <item x="8"/>
        <item x="1"/>
        <item x="2"/>
        <item x="5"/>
        <item x="10"/>
        <item x="11"/>
        <item x="12"/>
        <item x="14"/>
        <item x="15"/>
        <item x="16"/>
        <item x="19"/>
        <item x="9"/>
        <item x="13"/>
        <item x="21"/>
        <item x="22"/>
        <item x="24"/>
        <item x="26"/>
        <item x="17"/>
        <item x="18"/>
        <item x="20"/>
        <item x="25"/>
        <item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Tax Inclusive Amount" fld="4" subtotal="count" baseField="7"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0AF302-0092-4077-9D83-23E579CE833F}" name="PivotTable3"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15">
  <location ref="F1:G22" firstHeaderRow="1" firstDataRow="1" firstDataCol="1"/>
  <pivotFields count="11">
    <pivotField numFmtId="14" showAll="0"/>
    <pivotField showAll="0">
      <items count="18">
        <item x="4"/>
        <item x="15"/>
        <item x="3"/>
        <item x="8"/>
        <item x="12"/>
        <item x="13"/>
        <item x="9"/>
        <item x="5"/>
        <item x="11"/>
        <item x="6"/>
        <item x="1"/>
        <item x="2"/>
        <item x="10"/>
        <item x="7"/>
        <item x="14"/>
        <item x="16"/>
        <item x="0"/>
        <item t="default"/>
      </items>
    </pivotField>
    <pivotField dataField="1" showAll="0">
      <items count="16">
        <item x="4"/>
        <item x="6"/>
        <item x="3"/>
        <item x="2"/>
        <item x="12"/>
        <item x="5"/>
        <item x="1"/>
        <item x="10"/>
        <item x="13"/>
        <item x="9"/>
        <item x="11"/>
        <item x="14"/>
        <item x="0"/>
        <item x="7"/>
        <item x="8"/>
        <item t="default"/>
      </items>
    </pivotField>
    <pivotField axis="axisRow" showAll="0">
      <items count="21">
        <item x="18"/>
        <item x="5"/>
        <item x="10"/>
        <item x="16"/>
        <item x="17"/>
        <item x="6"/>
        <item x="15"/>
        <item x="3"/>
        <item x="8"/>
        <item x="11"/>
        <item x="1"/>
        <item x="0"/>
        <item x="7"/>
        <item x="13"/>
        <item x="12"/>
        <item x="9"/>
        <item x="14"/>
        <item x="4"/>
        <item x="19"/>
        <item x="2"/>
        <item t="default"/>
      </items>
    </pivotField>
    <pivotField showAll="0"/>
    <pivotField showAll="0">
      <items count="3">
        <item x="0"/>
        <item x="1"/>
        <item t="default"/>
      </items>
    </pivotField>
    <pivotField showAll="0">
      <items count="4">
        <item x="0"/>
        <item x="1"/>
        <item x="2"/>
        <item t="default"/>
      </items>
    </pivotField>
    <pivotField showAll="0"/>
    <pivotField numFmtId="14" showAll="0">
      <items count="28">
        <item x="0"/>
        <item x="3"/>
        <item x="4"/>
        <item x="6"/>
        <item x="7"/>
        <item x="8"/>
        <item x="1"/>
        <item x="2"/>
        <item x="5"/>
        <item x="10"/>
        <item x="11"/>
        <item x="12"/>
        <item x="14"/>
        <item x="15"/>
        <item x="16"/>
        <item x="19"/>
        <item x="9"/>
        <item x="13"/>
        <item x="21"/>
        <item x="22"/>
        <item x="24"/>
        <item x="26"/>
        <item x="17"/>
        <item x="18"/>
        <item x="20"/>
        <item x="25"/>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Reference" fld="2"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F45C03-C1C1-438C-B745-46E210BA91F7}" name="PivotTable2"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17">
  <location ref="C1:D5" firstHeaderRow="1" firstDataRow="1" firstDataCol="1"/>
  <pivotFields count="11">
    <pivotField numFmtId="14" showAll="0"/>
    <pivotField dataField="1" showAll="0"/>
    <pivotField showAll="0">
      <items count="16">
        <item x="4"/>
        <item x="6"/>
        <item x="3"/>
        <item x="2"/>
        <item x="12"/>
        <item x="5"/>
        <item x="1"/>
        <item x="10"/>
        <item x="13"/>
        <item x="9"/>
        <item x="11"/>
        <item x="14"/>
        <item x="0"/>
        <item x="7"/>
        <item x="8"/>
        <item t="default"/>
      </items>
    </pivotField>
    <pivotField showAll="0">
      <items count="21">
        <item x="18"/>
        <item x="5"/>
        <item x="10"/>
        <item x="16"/>
        <item x="17"/>
        <item x="6"/>
        <item x="15"/>
        <item x="3"/>
        <item x="8"/>
        <item x="11"/>
        <item x="1"/>
        <item x="0"/>
        <item x="7"/>
        <item x="13"/>
        <item x="12"/>
        <item x="9"/>
        <item x="14"/>
        <item x="4"/>
        <item x="19"/>
        <item x="2"/>
        <item t="default"/>
      </items>
    </pivotField>
    <pivotField showAll="0"/>
    <pivotField showAll="0">
      <items count="3">
        <item x="0"/>
        <item x="1"/>
        <item t="default"/>
      </items>
    </pivotField>
    <pivotField axis="axisRow" showAll="0">
      <items count="4">
        <item x="0"/>
        <item x="1"/>
        <item x="2"/>
        <item t="default"/>
      </items>
    </pivotField>
    <pivotField showAll="0"/>
    <pivotField numFmtId="14" showAll="0">
      <items count="28">
        <item x="0"/>
        <item x="3"/>
        <item x="4"/>
        <item x="6"/>
        <item x="7"/>
        <item x="8"/>
        <item x="1"/>
        <item x="2"/>
        <item x="5"/>
        <item x="10"/>
        <item x="11"/>
        <item x="12"/>
        <item x="14"/>
        <item x="15"/>
        <item x="16"/>
        <item x="19"/>
        <item x="9"/>
        <item x="13"/>
        <item x="21"/>
        <item x="22"/>
        <item x="24"/>
        <item x="26"/>
        <item x="17"/>
        <item x="18"/>
        <item x="20"/>
        <item x="25"/>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Count of Supplier" fld="1" subtotal="count" baseField="0" baseItem="0"/>
  </dataFields>
  <chartFormats count="4">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6" count="1" selected="0">
            <x v="0"/>
          </reference>
        </references>
      </pivotArea>
    </chartFormat>
    <chartFormat chart="10" format="3">
      <pivotArea type="data" outline="0" fieldPosition="0">
        <references count="2">
          <reference field="4294967294" count="1" selected="0">
            <x v="0"/>
          </reference>
          <reference field="6" count="1" selected="0">
            <x v="1"/>
          </reference>
        </references>
      </pivotArea>
    </chartFormat>
    <chartFormat chart="10" format="4">
      <pivotArea type="data" outline="0" fieldPosition="0">
        <references count="2">
          <reference field="4294967294" count="1" selected="0">
            <x v="0"/>
          </reference>
          <reference field="6" count="1" selected="0">
            <x v="2"/>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7A967C-25FB-4417-B154-CB662E9608B0}" name="PivotTable1"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1:B24" firstHeaderRow="1" firstDataRow="1" firstDataCol="1"/>
  <pivotFields count="11">
    <pivotField numFmtId="14" showAll="0"/>
    <pivotField showAll="0"/>
    <pivotField showAll="0">
      <items count="16">
        <item x="4"/>
        <item x="6"/>
        <item x="3"/>
        <item x="2"/>
        <item x="12"/>
        <item x="5"/>
        <item x="1"/>
        <item x="10"/>
        <item x="13"/>
        <item x="9"/>
        <item x="11"/>
        <item x="14"/>
        <item x="0"/>
        <item x="7"/>
        <item x="8"/>
        <item t="default"/>
      </items>
    </pivotField>
    <pivotField axis="axisRow" showAll="0">
      <items count="21">
        <item x="18"/>
        <item x="5"/>
        <item x="10"/>
        <item x="16"/>
        <item x="17"/>
        <item x="6"/>
        <item x="15"/>
        <item x="3"/>
        <item x="8"/>
        <item x="11"/>
        <item x="1"/>
        <item x="0"/>
        <item x="7"/>
        <item x="13"/>
        <item x="12"/>
        <item x="9"/>
        <item x="14"/>
        <item x="4"/>
        <item x="19"/>
        <item x="2"/>
        <item t="default"/>
      </items>
    </pivotField>
    <pivotField dataField="1" showAll="0"/>
    <pivotField axis="axisRow" showAll="0">
      <items count="3">
        <item x="0"/>
        <item x="1"/>
        <item t="default"/>
      </items>
    </pivotField>
    <pivotField showAll="0">
      <items count="4">
        <item x="0"/>
        <item x="1"/>
        <item x="2"/>
        <item t="default"/>
      </items>
    </pivotField>
    <pivotField showAll="0"/>
    <pivotField numFmtId="14" showAll="0">
      <items count="28">
        <item x="0"/>
        <item x="3"/>
        <item x="4"/>
        <item x="6"/>
        <item x="7"/>
        <item x="8"/>
        <item x="1"/>
        <item x="2"/>
        <item x="5"/>
        <item x="10"/>
        <item x="11"/>
        <item x="12"/>
        <item x="14"/>
        <item x="15"/>
        <item x="16"/>
        <item x="19"/>
        <item x="9"/>
        <item x="13"/>
        <item x="21"/>
        <item x="22"/>
        <item x="24"/>
        <item x="26"/>
        <item x="17"/>
        <item x="18"/>
        <item x="20"/>
        <item x="25"/>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5"/>
    <field x="3"/>
  </rowFields>
  <rowItems count="23">
    <i>
      <x/>
    </i>
    <i r="1">
      <x/>
    </i>
    <i r="1">
      <x v="1"/>
    </i>
    <i r="1">
      <x v="3"/>
    </i>
    <i r="1">
      <x v="4"/>
    </i>
    <i r="1">
      <x v="5"/>
    </i>
    <i r="1">
      <x v="6"/>
    </i>
    <i r="1">
      <x v="7"/>
    </i>
    <i r="1">
      <x v="10"/>
    </i>
    <i r="1">
      <x v="11"/>
    </i>
    <i r="1">
      <x v="12"/>
    </i>
    <i r="1">
      <x v="14"/>
    </i>
    <i r="1">
      <x v="17"/>
    </i>
    <i r="1">
      <x v="18"/>
    </i>
    <i r="1">
      <x v="19"/>
    </i>
    <i>
      <x v="1"/>
    </i>
    <i r="1">
      <x v="2"/>
    </i>
    <i r="1">
      <x v="8"/>
    </i>
    <i r="1">
      <x v="9"/>
    </i>
    <i r="1">
      <x v="13"/>
    </i>
    <i r="1">
      <x v="15"/>
    </i>
    <i r="1">
      <x v="16"/>
    </i>
    <i t="grand">
      <x/>
    </i>
  </rowItems>
  <colItems count="1">
    <i/>
  </colItems>
  <dataFields count="1">
    <dataField name="Sum of Tax Inclusive Amount" fld="4"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BC1E5F8-38F0-456E-A945-E349D3586837}" autoFormatId="16" applyNumberFormats="0" applyBorderFormats="0" applyFontFormats="0" applyPatternFormats="0" applyAlignmentFormats="0" applyWidthHeightFormats="0">
  <queryTableRefresh nextId="10">
    <queryTableFields count="9">
      <queryTableField id="1" name="Document Date" tableColumnId="1"/>
      <queryTableField id="2" name="Supplier" tableColumnId="2"/>
      <queryTableField id="3" name="Reference" tableColumnId="3"/>
      <queryTableField id="4" name="Description" tableColumnId="4"/>
      <queryTableField id="5" name="Tax Inclusive Amount" tableColumnId="5"/>
      <queryTableField id="6" name="Text Code" tableColumnId="6"/>
      <queryTableField id="7" name="Bank Code" tableColumnId="7"/>
      <queryTableField id="8" name="Account Code" tableColumnId="8"/>
      <queryTableField id="9" name="Payment Da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ence" xr10:uid="{4FAF4A18-074E-49A4-84B5-4F64D1B36A3F}" sourceName="Reference">
  <pivotTables>
    <pivotTable tabId="2" name="PivotTable1"/>
    <pivotTable tabId="2" name="PivotTable2"/>
    <pivotTable tabId="2" name="PivotTable3"/>
    <pivotTable tabId="2" name="PivotTable4"/>
  </pivotTables>
  <data>
    <tabular pivotCacheId="986009415">
      <items count="15">
        <i x="4" s="1"/>
        <i x="6" s="1"/>
        <i x="3" s="1"/>
        <i x="2" s="1"/>
        <i x="12" s="1"/>
        <i x="5" s="1"/>
        <i x="1" s="1"/>
        <i x="10" s="1"/>
        <i x="13" s="1"/>
        <i x="9" s="1"/>
        <i x="11" s="1"/>
        <i x="14" s="1"/>
        <i x="0"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xt_Code" xr10:uid="{6EE4DEAF-609F-4AA7-81CC-11932C271195}" sourceName="Text Code">
  <pivotTables>
    <pivotTable tabId="2" name="PivotTable2"/>
    <pivotTable tabId="2" name="PivotTable1"/>
    <pivotTable tabId="2" name="PivotTable3"/>
    <pivotTable tabId="2" name="PivotTable4"/>
  </pivotTables>
  <data>
    <tabular pivotCacheId="98600941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_Code" xr10:uid="{A605229A-4542-4D25-9C95-E782C9CB56A6}" sourceName="Bank Code">
  <pivotTables>
    <pivotTable tabId="2" name="PivotTable2"/>
    <pivotTable tabId="2" name="PivotTable1"/>
    <pivotTable tabId="2" name="PivotTable3"/>
    <pivotTable tabId="2" name="PivotTable4"/>
  </pivotTables>
  <data>
    <tabular pivotCacheId="98600941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ference" xr10:uid="{94D592DF-1B6B-4659-9944-7F6E9E74AE7A}" cache="Slicer_Reference" caption="Reference" columnCount="3" style="SlicerStyleDark1" rowHeight="260350"/>
  <slicer name="Text Code" xr10:uid="{1794A7E0-6896-4463-A007-950DADB46458}" cache="Slicer_Text_Code" caption="Text Code" style="SlicerStyleDark1" rowHeight="260350"/>
  <slicer name="Bank Code" xr10:uid="{3FB31749-CDC2-4ED3-A429-FFB90A186B28}" cache="Slicer_Bank_Code" caption="Bank Code" style="SlicerStyleDark1" rowHeight="260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0DEE46-C49F-49B3-9CC6-A8055759CB87}" name="Table1_1" displayName="Table1_1" ref="A1:I21" tableType="queryTable" totalsRowShown="0">
  <autoFilter ref="A1:I21" xr:uid="{EF0DEE46-C49F-49B3-9CC6-A8055759CB87}"/>
  <tableColumns count="9">
    <tableColumn id="1" xr3:uid="{013DF1EF-F268-419E-BFC4-7AD59706A5DB}" uniqueName="1" name="Document Date" queryTableFieldId="1" dataDxfId="20"/>
    <tableColumn id="2" xr3:uid="{5C645AE2-2637-4305-B20B-E6F611E6C6CE}" uniqueName="2" name="Supplier" queryTableFieldId="2" dataDxfId="19"/>
    <tableColumn id="3" xr3:uid="{825965B7-5867-410D-AF0C-4DC08876BD4C}" uniqueName="3" name="Reference" queryTableFieldId="3" dataDxfId="18"/>
    <tableColumn id="4" xr3:uid="{5DD576FF-5D5B-4DF6-9B1E-DE6B225F4F91}" uniqueName="4" name="Description" queryTableFieldId="4" dataDxfId="17"/>
    <tableColumn id="5" xr3:uid="{9812375E-3CD4-4E07-AF1E-F178D315E916}" uniqueName="5" name="Tax Inclusive Amount" queryTableFieldId="5"/>
    <tableColumn id="6" xr3:uid="{9BFB1D75-C3EA-49CC-B95E-AFDB930D55C1}" uniqueName="6" name="Text Code" queryTableFieldId="6" dataDxfId="16"/>
    <tableColumn id="7" xr3:uid="{149C673D-92BB-42E9-84D9-C67997D3881E}" uniqueName="7" name="Bank Code" queryTableFieldId="7" dataDxfId="15"/>
    <tableColumn id="8" xr3:uid="{2FA5C2CA-54D4-4F3E-9519-E6F0B433948A}" uniqueName="8" name="Account Code" queryTableFieldId="8" dataDxfId="14"/>
    <tableColumn id="9" xr3:uid="{2191C7D6-F1D4-47D6-B793-86DFB6199CF5}" uniqueName="9" name="Payment Date" queryTableFieldId="9"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44A3E5-805D-44E7-95F6-4743B05E8444}" name="Table1" displayName="Table1" ref="A1:I48" totalsRowShown="0" headerRowDxfId="12" headerRowBorderDxfId="11" tableBorderDxfId="10" totalsRowBorderDxfId="9">
  <autoFilter ref="A1:I48" xr:uid="{4844A3E5-805D-44E7-95F6-4743B05E8444}"/>
  <tableColumns count="9">
    <tableColumn id="1" xr3:uid="{07267A7A-3B77-4670-9B96-3B4B5D0386E4}" name="Document Date" dataDxfId="8"/>
    <tableColumn id="2" xr3:uid="{ABCFB8A7-EBFA-4C42-BEFC-B431685F3EBD}" name="Supplier" dataDxfId="7"/>
    <tableColumn id="3" xr3:uid="{636B005D-4FC3-4D40-ADD0-6CF1FF836796}" name="Reference" dataDxfId="6"/>
    <tableColumn id="4" xr3:uid="{431AA125-3D2B-41CB-9259-9B250D321998}" name="Description" dataDxfId="5"/>
    <tableColumn id="5" xr3:uid="{DED4A290-6C14-4515-A617-4F0E2F6010C1}" name="Tax Inclusive Amount" dataDxfId="4"/>
    <tableColumn id="6" xr3:uid="{2F1F1755-4470-4837-B3A3-58CB9C3008DD}" name="Text Code" dataDxfId="3"/>
    <tableColumn id="7" xr3:uid="{CD5278B3-3455-422D-834C-A2A99F30081E}" name="Bank Code" dataDxfId="2"/>
    <tableColumn id="8" xr3:uid="{6CEFC0D0-DAF2-45B9-943A-567F39A797BF}" name="Account Code" dataDxfId="1"/>
    <tableColumn id="9" xr3:uid="{D29004AB-65BE-4F7B-AFA1-20CC1A9577B7}" name="Payment Dat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44E6C-AE85-4A69-8C89-07A00F9FE9A6}">
  <dimension ref="A1:I21"/>
  <sheetViews>
    <sheetView workbookViewId="0">
      <selection activeCell="I1" sqref="I1"/>
    </sheetView>
  </sheetViews>
  <sheetFormatPr defaultRowHeight="15.6" x14ac:dyDescent="0.3"/>
  <cols>
    <col min="1" max="1" width="16.19921875" bestFit="1" customWidth="1"/>
    <col min="2" max="2" width="17.09765625" bestFit="1" customWidth="1"/>
    <col min="3" max="3" width="14.296875" bestFit="1" customWidth="1"/>
    <col min="4" max="4" width="23.796875" bestFit="1" customWidth="1"/>
    <col min="5" max="5" width="21" bestFit="1" customWidth="1"/>
    <col min="6" max="6" width="11.296875" bestFit="1" customWidth="1"/>
    <col min="7" max="7" width="11.8984375" bestFit="1" customWidth="1"/>
    <col min="8" max="8" width="14.5" bestFit="1" customWidth="1"/>
    <col min="9" max="9" width="15.19921875" bestFit="1" customWidth="1"/>
  </cols>
  <sheetData>
    <row r="1" spans="1:9" x14ac:dyDescent="0.3">
      <c r="A1" t="s">
        <v>0</v>
      </c>
      <c r="B1" t="s">
        <v>1</v>
      </c>
      <c r="C1" t="s">
        <v>2</v>
      </c>
      <c r="D1" t="s">
        <v>3</v>
      </c>
      <c r="E1" t="s">
        <v>4</v>
      </c>
      <c r="F1" t="s">
        <v>83</v>
      </c>
      <c r="G1" t="s">
        <v>5</v>
      </c>
      <c r="H1" t="s">
        <v>6</v>
      </c>
      <c r="I1" t="s">
        <v>7</v>
      </c>
    </row>
    <row r="2" spans="1:9" x14ac:dyDescent="0.3">
      <c r="A2" s="14">
        <v>40587.770833333336</v>
      </c>
      <c r="B2" t="s">
        <v>8</v>
      </c>
      <c r="C2" t="s">
        <v>9</v>
      </c>
      <c r="D2" t="s">
        <v>10</v>
      </c>
      <c r="E2">
        <v>5100</v>
      </c>
      <c r="F2" t="s">
        <v>11</v>
      </c>
      <c r="G2" t="s">
        <v>12</v>
      </c>
      <c r="H2" t="s">
        <v>13</v>
      </c>
      <c r="I2" s="14">
        <v>40603.770833333336</v>
      </c>
    </row>
    <row r="3" spans="1:9" x14ac:dyDescent="0.3">
      <c r="A3" s="14">
        <v>40602.770833333336</v>
      </c>
      <c r="B3" t="s">
        <v>14</v>
      </c>
      <c r="C3" t="s">
        <v>15</v>
      </c>
      <c r="D3" t="s">
        <v>16</v>
      </c>
      <c r="E3">
        <v>179</v>
      </c>
      <c r="F3" t="s">
        <v>11</v>
      </c>
      <c r="G3" t="s">
        <v>12</v>
      </c>
      <c r="H3" t="s">
        <v>17</v>
      </c>
      <c r="I3" s="14">
        <v>40632.770833333336</v>
      </c>
    </row>
    <row r="4" spans="1:9" x14ac:dyDescent="0.3">
      <c r="A4" s="14">
        <v>40603.770833333336</v>
      </c>
      <c r="B4" t="s">
        <v>18</v>
      </c>
      <c r="C4" t="s">
        <v>19</v>
      </c>
      <c r="D4" t="s">
        <v>20</v>
      </c>
      <c r="E4">
        <v>478</v>
      </c>
      <c r="F4" t="s">
        <v>11</v>
      </c>
      <c r="G4" t="s">
        <v>12</v>
      </c>
      <c r="H4" t="s">
        <v>21</v>
      </c>
      <c r="I4" s="14">
        <v>40633.770833333336</v>
      </c>
    </row>
    <row r="5" spans="1:9" x14ac:dyDescent="0.3">
      <c r="A5" s="14">
        <v>40606.770833333336</v>
      </c>
      <c r="B5" t="s">
        <v>22</v>
      </c>
      <c r="C5" t="s">
        <v>23</v>
      </c>
      <c r="D5" t="s">
        <v>24</v>
      </c>
      <c r="E5">
        <v>340</v>
      </c>
      <c r="F5" t="s">
        <v>11</v>
      </c>
      <c r="G5" t="s">
        <v>12</v>
      </c>
      <c r="H5" t="s">
        <v>25</v>
      </c>
      <c r="I5" s="14">
        <v>40606.770833333336</v>
      </c>
    </row>
    <row r="6" spans="1:9" x14ac:dyDescent="0.3">
      <c r="A6" s="14">
        <v>40616.770833333336</v>
      </c>
      <c r="B6" t="s">
        <v>26</v>
      </c>
      <c r="C6" t="s">
        <v>27</v>
      </c>
      <c r="D6" t="s">
        <v>28</v>
      </c>
      <c r="E6">
        <v>50</v>
      </c>
      <c r="F6" t="s">
        <v>11</v>
      </c>
      <c r="G6" t="s">
        <v>12</v>
      </c>
      <c r="H6" t="s">
        <v>29</v>
      </c>
      <c r="I6" s="14">
        <v>40616.770833333336</v>
      </c>
    </row>
    <row r="7" spans="1:9" x14ac:dyDescent="0.3">
      <c r="A7" s="14">
        <v>40616.770833333336</v>
      </c>
      <c r="B7" t="s">
        <v>31</v>
      </c>
      <c r="C7" t="s">
        <v>32</v>
      </c>
      <c r="D7" t="s">
        <v>33</v>
      </c>
      <c r="E7">
        <v>1000</v>
      </c>
      <c r="F7" t="s">
        <v>11</v>
      </c>
      <c r="G7" t="s">
        <v>12</v>
      </c>
      <c r="H7" t="s">
        <v>34</v>
      </c>
      <c r="I7" s="14">
        <v>40634.770833333336</v>
      </c>
    </row>
    <row r="8" spans="1:9" x14ac:dyDescent="0.3">
      <c r="A8" s="14">
        <v>40616.770833333336</v>
      </c>
      <c r="B8" t="s">
        <v>35</v>
      </c>
      <c r="C8" t="s">
        <v>36</v>
      </c>
      <c r="D8" t="s">
        <v>37</v>
      </c>
      <c r="E8">
        <v>90</v>
      </c>
      <c r="F8" t="s">
        <v>11</v>
      </c>
      <c r="G8" t="s">
        <v>38</v>
      </c>
      <c r="H8" t="s">
        <v>39</v>
      </c>
      <c r="I8" s="14">
        <v>40616.770833333336</v>
      </c>
    </row>
    <row r="9" spans="1:9" x14ac:dyDescent="0.3">
      <c r="A9" s="14">
        <v>40619.770833333336</v>
      </c>
      <c r="B9" t="s">
        <v>40</v>
      </c>
      <c r="C9" t="s">
        <v>41</v>
      </c>
      <c r="D9" t="s">
        <v>42</v>
      </c>
      <c r="E9">
        <v>200</v>
      </c>
      <c r="F9" t="s">
        <v>11</v>
      </c>
      <c r="G9" t="s">
        <v>12</v>
      </c>
      <c r="H9" t="s">
        <v>43</v>
      </c>
      <c r="I9" s="14">
        <v>40619.770833333336</v>
      </c>
    </row>
    <row r="10" spans="1:9" x14ac:dyDescent="0.3">
      <c r="A10" s="14">
        <v>40621.770833333336</v>
      </c>
      <c r="B10" t="s">
        <v>44</v>
      </c>
      <c r="C10" t="s">
        <v>45</v>
      </c>
      <c r="D10" t="s">
        <v>46</v>
      </c>
      <c r="E10">
        <v>-15000</v>
      </c>
      <c r="F10" t="s">
        <v>47</v>
      </c>
      <c r="G10" t="s">
        <v>30</v>
      </c>
      <c r="H10" t="s">
        <v>48</v>
      </c>
      <c r="I10" s="14">
        <v>40621.770833333336</v>
      </c>
    </row>
    <row r="11" spans="1:9" x14ac:dyDescent="0.3">
      <c r="A11" s="14">
        <v>40627.770833333336</v>
      </c>
      <c r="B11" t="s">
        <v>44</v>
      </c>
      <c r="C11" t="s">
        <v>49</v>
      </c>
      <c r="D11" t="s">
        <v>50</v>
      </c>
      <c r="E11">
        <v>13000</v>
      </c>
      <c r="F11" t="s">
        <v>47</v>
      </c>
      <c r="G11" t="s">
        <v>30</v>
      </c>
      <c r="H11" t="s">
        <v>51</v>
      </c>
      <c r="I11" s="14">
        <v>40627.770833333336</v>
      </c>
    </row>
    <row r="12" spans="1:9" x14ac:dyDescent="0.3">
      <c r="A12" s="14">
        <v>40627.770833333336</v>
      </c>
      <c r="B12" t="s">
        <v>52</v>
      </c>
      <c r="C12" t="s">
        <v>23</v>
      </c>
      <c r="D12" t="s">
        <v>53</v>
      </c>
      <c r="E12">
        <v>220</v>
      </c>
      <c r="F12" t="s">
        <v>47</v>
      </c>
      <c r="G12" t="s">
        <v>12</v>
      </c>
      <c r="H12" t="s">
        <v>54</v>
      </c>
      <c r="I12" s="14">
        <v>40627.770833333336</v>
      </c>
    </row>
    <row r="13" spans="1:9" x14ac:dyDescent="0.3">
      <c r="A13" s="14">
        <v>40627.770833333336</v>
      </c>
      <c r="B13" t="s">
        <v>52</v>
      </c>
      <c r="C13" t="s">
        <v>23</v>
      </c>
      <c r="D13" t="s">
        <v>55</v>
      </c>
      <c r="E13">
        <v>100</v>
      </c>
      <c r="F13" t="s">
        <v>47</v>
      </c>
      <c r="G13" t="s">
        <v>12</v>
      </c>
      <c r="H13" t="s">
        <v>56</v>
      </c>
      <c r="I13" s="14">
        <v>40627.770833333336</v>
      </c>
    </row>
    <row r="14" spans="1:9" x14ac:dyDescent="0.3">
      <c r="A14" s="14">
        <v>40627.770833333336</v>
      </c>
      <c r="B14" t="s">
        <v>57</v>
      </c>
      <c r="C14" t="s">
        <v>23</v>
      </c>
      <c r="D14" t="s">
        <v>58</v>
      </c>
      <c r="E14">
        <v>6400</v>
      </c>
      <c r="F14" t="s">
        <v>11</v>
      </c>
      <c r="G14" t="s">
        <v>12</v>
      </c>
      <c r="H14" t="s">
        <v>59</v>
      </c>
      <c r="I14" s="14">
        <v>40627.770833333336</v>
      </c>
    </row>
    <row r="15" spans="1:9" x14ac:dyDescent="0.3">
      <c r="A15" s="14">
        <v>40632.770833333336</v>
      </c>
      <c r="B15" t="s">
        <v>44</v>
      </c>
      <c r="C15" t="s">
        <v>27</v>
      </c>
      <c r="D15" t="s">
        <v>60</v>
      </c>
      <c r="E15">
        <v>100</v>
      </c>
      <c r="F15" t="s">
        <v>47</v>
      </c>
      <c r="G15" t="s">
        <v>12</v>
      </c>
      <c r="H15" t="s">
        <v>48</v>
      </c>
      <c r="I15" s="14">
        <v>40632.770833333336</v>
      </c>
    </row>
    <row r="16" spans="1:9" x14ac:dyDescent="0.3">
      <c r="A16" s="14">
        <v>40657.770833333336</v>
      </c>
      <c r="B16" t="s">
        <v>62</v>
      </c>
      <c r="C16" t="s">
        <v>63</v>
      </c>
      <c r="D16" t="s">
        <v>64</v>
      </c>
      <c r="E16">
        <v>1300</v>
      </c>
      <c r="F16" t="s">
        <v>47</v>
      </c>
      <c r="G16" t="s">
        <v>12</v>
      </c>
      <c r="H16" t="s">
        <v>65</v>
      </c>
      <c r="I16" s="14">
        <v>40657.770833333336</v>
      </c>
    </row>
    <row r="17" spans="1:9" x14ac:dyDescent="0.3">
      <c r="A17" s="14">
        <v>40658.770833333336</v>
      </c>
      <c r="B17" t="s">
        <v>66</v>
      </c>
      <c r="C17" t="s">
        <v>32</v>
      </c>
      <c r="D17" t="s">
        <v>67</v>
      </c>
      <c r="E17">
        <v>3000</v>
      </c>
      <c r="F17" t="s">
        <v>11</v>
      </c>
      <c r="G17" t="s">
        <v>12</v>
      </c>
      <c r="H17" t="s">
        <v>68</v>
      </c>
      <c r="I17" s="14">
        <v>40688.770833333336</v>
      </c>
    </row>
    <row r="18" spans="1:9" x14ac:dyDescent="0.3">
      <c r="A18" s="14">
        <v>40661.770833333336</v>
      </c>
      <c r="B18" t="s">
        <v>69</v>
      </c>
      <c r="C18" t="s">
        <v>70</v>
      </c>
      <c r="D18" t="s">
        <v>71</v>
      </c>
      <c r="E18">
        <v>41</v>
      </c>
      <c r="F18" t="s">
        <v>11</v>
      </c>
      <c r="G18" t="s">
        <v>38</v>
      </c>
      <c r="H18" t="s">
        <v>72</v>
      </c>
      <c r="I18" s="14">
        <v>40691.770833333336</v>
      </c>
    </row>
    <row r="19" spans="1:9" x14ac:dyDescent="0.3">
      <c r="A19" s="14">
        <v>40663.770833333336</v>
      </c>
      <c r="B19" t="s">
        <v>74</v>
      </c>
      <c r="C19" t="s">
        <v>32</v>
      </c>
      <c r="D19" t="s">
        <v>75</v>
      </c>
      <c r="E19">
        <v>220</v>
      </c>
      <c r="F19" t="s">
        <v>11</v>
      </c>
      <c r="G19" t="s">
        <v>12</v>
      </c>
      <c r="H19" t="s">
        <v>76</v>
      </c>
      <c r="I19" s="14">
        <v>40693.770833333336</v>
      </c>
    </row>
    <row r="20" spans="1:9" x14ac:dyDescent="0.3">
      <c r="A20" s="14">
        <v>40669.770833333336</v>
      </c>
      <c r="B20" t="s">
        <v>77</v>
      </c>
      <c r="C20" t="s">
        <v>78</v>
      </c>
      <c r="D20" t="s">
        <v>79</v>
      </c>
      <c r="E20">
        <v>563</v>
      </c>
      <c r="F20" t="s">
        <v>11</v>
      </c>
      <c r="G20" t="s">
        <v>12</v>
      </c>
      <c r="H20" t="s">
        <v>43</v>
      </c>
      <c r="I20" s="14">
        <v>40669.770833333336</v>
      </c>
    </row>
    <row r="21" spans="1:9" x14ac:dyDescent="0.3">
      <c r="A21" s="14">
        <v>40669.770833333336</v>
      </c>
      <c r="B21" t="s">
        <v>80</v>
      </c>
      <c r="C21" t="s">
        <v>32</v>
      </c>
      <c r="D21" t="s">
        <v>81</v>
      </c>
      <c r="E21">
        <v>982</v>
      </c>
      <c r="F21" t="s">
        <v>11</v>
      </c>
      <c r="G21" t="s">
        <v>12</v>
      </c>
      <c r="H21" t="s">
        <v>82</v>
      </c>
      <c r="I21" s="14">
        <v>40699.770833333336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workbookViewId="0"/>
  </sheetViews>
  <sheetFormatPr defaultRowHeight="15.6" x14ac:dyDescent="0.3"/>
  <cols>
    <col min="1" max="1" width="16.09765625" bestFit="1" customWidth="1"/>
    <col min="2" max="2" width="17.09765625" bestFit="1" customWidth="1"/>
    <col min="3" max="3" width="14.296875" bestFit="1" customWidth="1"/>
    <col min="4" max="4" width="23.796875" bestFit="1" customWidth="1"/>
    <col min="5" max="5" width="21.59765625" bestFit="1" customWidth="1"/>
    <col min="6" max="6" width="10.3984375" bestFit="1" customWidth="1"/>
    <col min="7" max="7" width="10.8984375" bestFit="1" customWidth="1"/>
    <col min="8" max="8" width="14.09765625" bestFit="1" customWidth="1"/>
    <col min="9" max="9" width="14.59765625" bestFit="1" customWidth="1"/>
  </cols>
  <sheetData>
    <row r="1" spans="1:9" ht="18" x14ac:dyDescent="0.35">
      <c r="A1" s="5" t="s">
        <v>0</v>
      </c>
      <c r="B1" s="5" t="s">
        <v>1</v>
      </c>
      <c r="C1" s="5" t="s">
        <v>2</v>
      </c>
      <c r="D1" s="5" t="s">
        <v>3</v>
      </c>
      <c r="E1" s="5" t="s">
        <v>4</v>
      </c>
      <c r="F1" s="5" t="s">
        <v>83</v>
      </c>
      <c r="G1" s="5" t="s">
        <v>5</v>
      </c>
      <c r="H1" s="5" t="s">
        <v>6</v>
      </c>
      <c r="I1" s="5" t="s">
        <v>7</v>
      </c>
    </row>
    <row r="2" spans="1:9" x14ac:dyDescent="0.3">
      <c r="A2" s="1">
        <v>40587.770833333336</v>
      </c>
      <c r="B2" s="2" t="s">
        <v>8</v>
      </c>
      <c r="C2" s="2" t="s">
        <v>9</v>
      </c>
      <c r="D2" s="2" t="s">
        <v>10</v>
      </c>
      <c r="E2" s="2">
        <v>5100</v>
      </c>
      <c r="F2" s="2" t="s">
        <v>11</v>
      </c>
      <c r="G2" s="2" t="s">
        <v>12</v>
      </c>
      <c r="H2" s="2" t="s">
        <v>13</v>
      </c>
      <c r="I2" s="1">
        <v>40603.770833333336</v>
      </c>
    </row>
    <row r="3" spans="1:9" x14ac:dyDescent="0.3">
      <c r="A3" s="1">
        <v>40602.770833333336</v>
      </c>
      <c r="B3" s="2" t="s">
        <v>14</v>
      </c>
      <c r="C3" s="2" t="s">
        <v>15</v>
      </c>
      <c r="D3" s="2" t="s">
        <v>16</v>
      </c>
      <c r="E3" s="2">
        <v>179</v>
      </c>
      <c r="F3" s="2" t="s">
        <v>11</v>
      </c>
      <c r="G3" s="2" t="s">
        <v>12</v>
      </c>
      <c r="H3" s="2" t="s">
        <v>17</v>
      </c>
      <c r="I3" s="1">
        <v>40632.770833333336</v>
      </c>
    </row>
    <row r="4" spans="1:9" x14ac:dyDescent="0.3">
      <c r="A4" s="1">
        <v>40603.770833333336</v>
      </c>
      <c r="B4" s="2" t="s">
        <v>18</v>
      </c>
      <c r="C4" s="2" t="s">
        <v>19</v>
      </c>
      <c r="D4" s="2" t="s">
        <v>20</v>
      </c>
      <c r="E4" s="2">
        <v>478</v>
      </c>
      <c r="F4" s="2" t="s">
        <v>11</v>
      </c>
      <c r="G4" s="2" t="s">
        <v>12</v>
      </c>
      <c r="H4" s="2" t="s">
        <v>21</v>
      </c>
      <c r="I4" s="1">
        <v>40633.770833333336</v>
      </c>
    </row>
    <row r="5" spans="1:9" x14ac:dyDescent="0.3">
      <c r="A5" s="1">
        <v>40606.770833333336</v>
      </c>
      <c r="B5" s="2" t="s">
        <v>22</v>
      </c>
      <c r="C5" s="2" t="s">
        <v>23</v>
      </c>
      <c r="D5" s="2" t="s">
        <v>24</v>
      </c>
      <c r="E5" s="2">
        <v>340</v>
      </c>
      <c r="F5" s="2" t="s">
        <v>11</v>
      </c>
      <c r="G5" s="2" t="s">
        <v>12</v>
      </c>
      <c r="H5" s="2" t="s">
        <v>25</v>
      </c>
      <c r="I5" s="1">
        <v>40606.770833333336</v>
      </c>
    </row>
    <row r="6" spans="1:9" x14ac:dyDescent="0.3">
      <c r="A6" s="1">
        <v>40616.770833333336</v>
      </c>
      <c r="B6" s="2" t="s">
        <v>26</v>
      </c>
      <c r="C6" s="2" t="s">
        <v>27</v>
      </c>
      <c r="D6" s="2" t="s">
        <v>28</v>
      </c>
      <c r="E6" s="2">
        <v>50</v>
      </c>
      <c r="F6" s="2" t="s">
        <v>11</v>
      </c>
      <c r="G6" s="2" t="s">
        <v>12</v>
      </c>
      <c r="H6" s="2" t="s">
        <v>29</v>
      </c>
      <c r="I6" s="1">
        <v>40616.770833333336</v>
      </c>
    </row>
    <row r="7" spans="1:9" x14ac:dyDescent="0.3">
      <c r="A7" s="1">
        <v>40616.770833333336</v>
      </c>
      <c r="B7" s="2" t="s">
        <v>26</v>
      </c>
      <c r="C7" s="2" t="s">
        <v>27</v>
      </c>
      <c r="D7" s="2" t="s">
        <v>28</v>
      </c>
      <c r="E7" s="2">
        <v>35</v>
      </c>
      <c r="F7" s="2" t="s">
        <v>11</v>
      </c>
      <c r="G7" s="2" t="s">
        <v>30</v>
      </c>
      <c r="H7" s="2" t="s">
        <v>29</v>
      </c>
      <c r="I7" s="1">
        <v>40616.770833333336</v>
      </c>
    </row>
    <row r="8" spans="1:9" x14ac:dyDescent="0.3">
      <c r="A8" s="1">
        <v>40616.770833333336</v>
      </c>
      <c r="B8" s="2" t="s">
        <v>31</v>
      </c>
      <c r="C8" s="2" t="s">
        <v>32</v>
      </c>
      <c r="D8" s="2" t="s">
        <v>33</v>
      </c>
      <c r="E8" s="2">
        <v>1000</v>
      </c>
      <c r="F8" s="2" t="s">
        <v>11</v>
      </c>
      <c r="G8" s="2" t="s">
        <v>12</v>
      </c>
      <c r="H8" s="2" t="s">
        <v>34</v>
      </c>
      <c r="I8" s="1">
        <v>40634.770833333336</v>
      </c>
    </row>
    <row r="9" spans="1:9" x14ac:dyDescent="0.3">
      <c r="A9" s="1">
        <v>40616.770833333336</v>
      </c>
      <c r="B9" s="2" t="s">
        <v>35</v>
      </c>
      <c r="C9" s="2" t="s">
        <v>36</v>
      </c>
      <c r="D9" s="2" t="s">
        <v>37</v>
      </c>
      <c r="E9" s="2">
        <v>90</v>
      </c>
      <c r="F9" s="2" t="s">
        <v>11</v>
      </c>
      <c r="G9" s="2" t="s">
        <v>38</v>
      </c>
      <c r="H9" s="2" t="s">
        <v>39</v>
      </c>
      <c r="I9" s="1">
        <v>40616.770833333336</v>
      </c>
    </row>
    <row r="10" spans="1:9" x14ac:dyDescent="0.3">
      <c r="A10" s="1">
        <v>40619.770833333336</v>
      </c>
      <c r="B10" s="2" t="s">
        <v>40</v>
      </c>
      <c r="C10" s="2" t="s">
        <v>41</v>
      </c>
      <c r="D10" s="2" t="s">
        <v>42</v>
      </c>
      <c r="E10" s="2">
        <v>200</v>
      </c>
      <c r="F10" s="2" t="s">
        <v>11</v>
      </c>
      <c r="G10" s="2" t="s">
        <v>12</v>
      </c>
      <c r="H10" s="2" t="s">
        <v>43</v>
      </c>
      <c r="I10" s="1">
        <v>40619.770833333336</v>
      </c>
    </row>
    <row r="11" spans="1:9" x14ac:dyDescent="0.3">
      <c r="A11" s="1">
        <v>40621.770833333336</v>
      </c>
      <c r="B11" s="2" t="s">
        <v>44</v>
      </c>
      <c r="C11" s="2" t="s">
        <v>45</v>
      </c>
      <c r="D11" s="2" t="s">
        <v>46</v>
      </c>
      <c r="E11" s="2">
        <v>-15000</v>
      </c>
      <c r="F11" s="2" t="s">
        <v>47</v>
      </c>
      <c r="G11" s="2" t="s">
        <v>30</v>
      </c>
      <c r="H11" s="2" t="s">
        <v>48</v>
      </c>
      <c r="I11" s="1">
        <v>40621.770833333336</v>
      </c>
    </row>
    <row r="12" spans="1:9" x14ac:dyDescent="0.3">
      <c r="A12" s="1">
        <v>40621.770833333336</v>
      </c>
      <c r="B12" s="2" t="s">
        <v>44</v>
      </c>
      <c r="C12" s="2" t="s">
        <v>45</v>
      </c>
      <c r="D12" s="2" t="s">
        <v>46</v>
      </c>
      <c r="E12" s="2">
        <v>15000</v>
      </c>
      <c r="F12" s="2" t="s">
        <v>47</v>
      </c>
      <c r="G12" s="2" t="s">
        <v>12</v>
      </c>
      <c r="H12" s="2" t="s">
        <v>48</v>
      </c>
      <c r="I12" s="1">
        <v>40621.770833333336</v>
      </c>
    </row>
    <row r="13" spans="1:9" x14ac:dyDescent="0.3">
      <c r="A13" s="1">
        <v>40627.770833333336</v>
      </c>
      <c r="B13" s="2" t="s">
        <v>44</v>
      </c>
      <c r="C13" s="2" t="s">
        <v>49</v>
      </c>
      <c r="D13" s="2" t="s">
        <v>50</v>
      </c>
      <c r="E13" s="2">
        <v>13000</v>
      </c>
      <c r="F13" s="2" t="s">
        <v>47</v>
      </c>
      <c r="G13" s="2" t="s">
        <v>30</v>
      </c>
      <c r="H13" s="2" t="s">
        <v>51</v>
      </c>
      <c r="I13" s="1">
        <v>40627.770833333336</v>
      </c>
    </row>
    <row r="14" spans="1:9" x14ac:dyDescent="0.3">
      <c r="A14" s="1">
        <v>40627.770833333336</v>
      </c>
      <c r="B14" s="2" t="s">
        <v>52</v>
      </c>
      <c r="C14" s="2" t="s">
        <v>23</v>
      </c>
      <c r="D14" s="2" t="s">
        <v>53</v>
      </c>
      <c r="E14" s="2">
        <v>220</v>
      </c>
      <c r="F14" s="2" t="s">
        <v>47</v>
      </c>
      <c r="G14" s="2" t="s">
        <v>12</v>
      </c>
      <c r="H14" s="2" t="s">
        <v>54</v>
      </c>
      <c r="I14" s="1">
        <v>40627.770833333336</v>
      </c>
    </row>
    <row r="15" spans="1:9" x14ac:dyDescent="0.3">
      <c r="A15" s="1">
        <v>40627.770833333336</v>
      </c>
      <c r="B15" s="2" t="s">
        <v>52</v>
      </c>
      <c r="C15" s="2" t="s">
        <v>23</v>
      </c>
      <c r="D15" s="2" t="s">
        <v>55</v>
      </c>
      <c r="E15" s="2">
        <v>100</v>
      </c>
      <c r="F15" s="2" t="s">
        <v>47</v>
      </c>
      <c r="G15" s="2" t="s">
        <v>12</v>
      </c>
      <c r="H15" s="2" t="s">
        <v>56</v>
      </c>
      <c r="I15" s="1">
        <v>40627.770833333336</v>
      </c>
    </row>
    <row r="16" spans="1:9" x14ac:dyDescent="0.3">
      <c r="A16" s="1">
        <v>40627.770833333336</v>
      </c>
      <c r="B16" s="2" t="s">
        <v>57</v>
      </c>
      <c r="C16" s="2" t="s">
        <v>23</v>
      </c>
      <c r="D16" s="2" t="s">
        <v>58</v>
      </c>
      <c r="E16" s="2">
        <v>6400</v>
      </c>
      <c r="F16" s="2" t="s">
        <v>11</v>
      </c>
      <c r="G16" s="2" t="s">
        <v>12</v>
      </c>
      <c r="H16" s="2" t="s">
        <v>59</v>
      </c>
      <c r="I16" s="1">
        <v>40627.770833333336</v>
      </c>
    </row>
    <row r="17" spans="1:9" x14ac:dyDescent="0.3">
      <c r="A17" s="1">
        <v>40632.770833333336</v>
      </c>
      <c r="B17" s="2" t="s">
        <v>44</v>
      </c>
      <c r="C17" s="2" t="s">
        <v>27</v>
      </c>
      <c r="D17" s="2" t="s">
        <v>60</v>
      </c>
      <c r="E17" s="2">
        <v>100</v>
      </c>
      <c r="F17" s="2" t="s">
        <v>47</v>
      </c>
      <c r="G17" s="2" t="s">
        <v>12</v>
      </c>
      <c r="H17" s="2" t="s">
        <v>48</v>
      </c>
      <c r="I17" s="1">
        <v>40632.770833333336</v>
      </c>
    </row>
    <row r="18" spans="1:9" x14ac:dyDescent="0.3">
      <c r="A18" s="1">
        <v>40632.770833333336</v>
      </c>
      <c r="B18" s="2" t="s">
        <v>44</v>
      </c>
      <c r="C18" s="2" t="s">
        <v>27</v>
      </c>
      <c r="D18" s="2" t="s">
        <v>60</v>
      </c>
      <c r="E18" s="2">
        <v>-100</v>
      </c>
      <c r="F18" s="2" t="s">
        <v>47</v>
      </c>
      <c r="G18" s="2" t="s">
        <v>38</v>
      </c>
      <c r="H18" s="2" t="s">
        <v>48</v>
      </c>
      <c r="I18" s="1">
        <v>40632.770833333336</v>
      </c>
    </row>
    <row r="19" spans="1:9" x14ac:dyDescent="0.3">
      <c r="A19" s="1">
        <v>40633.770833333336</v>
      </c>
      <c r="B19" s="2" t="s">
        <v>14</v>
      </c>
      <c r="C19" s="2" t="s">
        <v>61</v>
      </c>
      <c r="D19" s="2" t="s">
        <v>16</v>
      </c>
      <c r="E19" s="2">
        <v>179</v>
      </c>
      <c r="F19" s="2" t="s">
        <v>11</v>
      </c>
      <c r="G19" s="2" t="s">
        <v>12</v>
      </c>
      <c r="H19" s="2" t="s">
        <v>17</v>
      </c>
      <c r="I19" s="1">
        <v>40663.770833333336</v>
      </c>
    </row>
    <row r="20" spans="1:9" x14ac:dyDescent="0.3">
      <c r="A20" s="1">
        <v>40637.770833333336</v>
      </c>
      <c r="B20" s="2" t="s">
        <v>22</v>
      </c>
      <c r="C20" s="2" t="s">
        <v>23</v>
      </c>
      <c r="D20" s="2" t="s">
        <v>24</v>
      </c>
      <c r="E20" s="2">
        <v>340</v>
      </c>
      <c r="F20" s="2" t="s">
        <v>11</v>
      </c>
      <c r="G20" s="2" t="s">
        <v>12</v>
      </c>
      <c r="H20" s="2" t="s">
        <v>25</v>
      </c>
      <c r="I20" s="1">
        <v>40637.770833333336</v>
      </c>
    </row>
    <row r="21" spans="1:9" x14ac:dyDescent="0.3">
      <c r="A21" s="1">
        <v>40644.770833333336</v>
      </c>
      <c r="B21" s="2" t="s">
        <v>35</v>
      </c>
      <c r="C21" s="2" t="s">
        <v>36</v>
      </c>
      <c r="D21" s="2" t="s">
        <v>37</v>
      </c>
      <c r="E21" s="2">
        <v>87</v>
      </c>
      <c r="F21" s="2" t="s">
        <v>11</v>
      </c>
      <c r="G21" s="2" t="s">
        <v>38</v>
      </c>
      <c r="H21" s="2" t="s">
        <v>39</v>
      </c>
      <c r="I21" s="1">
        <v>40644.770833333336</v>
      </c>
    </row>
    <row r="22" spans="1:9" x14ac:dyDescent="0.3">
      <c r="A22" s="1">
        <v>40647.770833333336</v>
      </c>
      <c r="B22" s="2" t="s">
        <v>26</v>
      </c>
      <c r="C22" s="2" t="s">
        <v>27</v>
      </c>
      <c r="D22" s="2" t="s">
        <v>28</v>
      </c>
      <c r="E22" s="2">
        <v>80</v>
      </c>
      <c r="F22" s="2" t="s">
        <v>11</v>
      </c>
      <c r="G22" s="2" t="s">
        <v>12</v>
      </c>
      <c r="H22" s="2" t="s">
        <v>29</v>
      </c>
      <c r="I22" s="1">
        <v>40647.770833333336</v>
      </c>
    </row>
    <row r="23" spans="1:9" x14ac:dyDescent="0.3">
      <c r="A23" s="1">
        <v>40647.770833333336</v>
      </c>
      <c r="B23" s="2" t="s">
        <v>26</v>
      </c>
      <c r="C23" s="2" t="s">
        <v>27</v>
      </c>
      <c r="D23" s="2" t="s">
        <v>28</v>
      </c>
      <c r="E23" s="2">
        <v>35</v>
      </c>
      <c r="F23" s="2" t="s">
        <v>11</v>
      </c>
      <c r="G23" s="2" t="s">
        <v>30</v>
      </c>
      <c r="H23" s="2" t="s">
        <v>29</v>
      </c>
      <c r="I23" s="1">
        <v>40647.770833333336</v>
      </c>
    </row>
    <row r="24" spans="1:9" x14ac:dyDescent="0.3">
      <c r="A24" s="1">
        <v>40647.770833333336</v>
      </c>
      <c r="B24" s="2" t="s">
        <v>31</v>
      </c>
      <c r="C24" s="2" t="s">
        <v>32</v>
      </c>
      <c r="D24" s="2" t="s">
        <v>33</v>
      </c>
      <c r="E24" s="2">
        <v>1000</v>
      </c>
      <c r="F24" s="2" t="s">
        <v>11</v>
      </c>
      <c r="G24" s="2" t="s">
        <v>12</v>
      </c>
      <c r="H24" s="2" t="s">
        <v>34</v>
      </c>
      <c r="I24" s="1">
        <v>40665.770833333336</v>
      </c>
    </row>
    <row r="25" spans="1:9" x14ac:dyDescent="0.3">
      <c r="A25" s="1">
        <v>40652.770833333336</v>
      </c>
      <c r="B25" s="2" t="s">
        <v>44</v>
      </c>
      <c r="C25" s="2" t="s">
        <v>45</v>
      </c>
      <c r="D25" s="2" t="s">
        <v>46</v>
      </c>
      <c r="E25" s="2">
        <v>-20000</v>
      </c>
      <c r="F25" s="2" t="s">
        <v>47</v>
      </c>
      <c r="G25" s="2" t="s">
        <v>30</v>
      </c>
      <c r="H25" s="2" t="s">
        <v>48</v>
      </c>
      <c r="I25" s="1">
        <v>40652.770833333336</v>
      </c>
    </row>
    <row r="26" spans="1:9" x14ac:dyDescent="0.3">
      <c r="A26" s="1">
        <v>40652.770833333336</v>
      </c>
      <c r="B26" s="2" t="s">
        <v>44</v>
      </c>
      <c r="C26" s="2" t="s">
        <v>45</v>
      </c>
      <c r="D26" s="2" t="s">
        <v>46</v>
      </c>
      <c r="E26" s="2">
        <v>20000</v>
      </c>
      <c r="F26" s="2" t="s">
        <v>47</v>
      </c>
      <c r="G26" s="2" t="s">
        <v>12</v>
      </c>
      <c r="H26" s="2" t="s">
        <v>48</v>
      </c>
      <c r="I26" s="1">
        <v>40652.770833333336</v>
      </c>
    </row>
    <row r="27" spans="1:9" x14ac:dyDescent="0.3">
      <c r="A27" s="1">
        <v>40657.770833333336</v>
      </c>
      <c r="B27" s="2" t="s">
        <v>62</v>
      </c>
      <c r="C27" s="2" t="s">
        <v>63</v>
      </c>
      <c r="D27" s="2" t="s">
        <v>64</v>
      </c>
      <c r="E27" s="2">
        <v>1300</v>
      </c>
      <c r="F27" s="2" t="s">
        <v>47</v>
      </c>
      <c r="G27" s="2" t="s">
        <v>12</v>
      </c>
      <c r="H27" s="2" t="s">
        <v>65</v>
      </c>
      <c r="I27" s="1">
        <v>40657.770833333336</v>
      </c>
    </row>
    <row r="28" spans="1:9" x14ac:dyDescent="0.3">
      <c r="A28" s="1">
        <v>40658.770833333336</v>
      </c>
      <c r="B28" s="2" t="s">
        <v>44</v>
      </c>
      <c r="C28" s="2" t="s">
        <v>49</v>
      </c>
      <c r="D28" s="2" t="s">
        <v>50</v>
      </c>
      <c r="E28" s="2">
        <v>20000</v>
      </c>
      <c r="F28" s="2" t="s">
        <v>47</v>
      </c>
      <c r="G28" s="2" t="s">
        <v>30</v>
      </c>
      <c r="H28" s="2" t="s">
        <v>51</v>
      </c>
      <c r="I28" s="1">
        <v>40658.770833333336</v>
      </c>
    </row>
    <row r="29" spans="1:9" x14ac:dyDescent="0.3">
      <c r="A29" s="1">
        <v>40658.770833333336</v>
      </c>
      <c r="B29" s="2" t="s">
        <v>66</v>
      </c>
      <c r="C29" s="2" t="s">
        <v>32</v>
      </c>
      <c r="D29" s="2" t="s">
        <v>67</v>
      </c>
      <c r="E29" s="2">
        <v>3000</v>
      </c>
      <c r="F29" s="2" t="s">
        <v>11</v>
      </c>
      <c r="G29" s="2" t="s">
        <v>12</v>
      </c>
      <c r="H29" s="2" t="s">
        <v>68</v>
      </c>
      <c r="I29" s="1">
        <v>40688.770833333336</v>
      </c>
    </row>
    <row r="30" spans="1:9" x14ac:dyDescent="0.3">
      <c r="A30" s="1">
        <v>40658.770833333336</v>
      </c>
      <c r="B30" s="2" t="s">
        <v>52</v>
      </c>
      <c r="C30" s="2" t="s">
        <v>23</v>
      </c>
      <c r="D30" s="2" t="s">
        <v>53</v>
      </c>
      <c r="E30" s="2">
        <v>220</v>
      </c>
      <c r="F30" s="2" t="s">
        <v>47</v>
      </c>
      <c r="G30" s="2" t="s">
        <v>12</v>
      </c>
      <c r="H30" s="2" t="s">
        <v>54</v>
      </c>
      <c r="I30" s="1">
        <v>40658.770833333336</v>
      </c>
    </row>
    <row r="31" spans="1:9" x14ac:dyDescent="0.3">
      <c r="A31" s="1">
        <v>40658.770833333336</v>
      </c>
      <c r="B31" s="2" t="s">
        <v>52</v>
      </c>
      <c r="C31" s="2" t="s">
        <v>23</v>
      </c>
      <c r="D31" s="2" t="s">
        <v>55</v>
      </c>
      <c r="E31" s="2">
        <v>100</v>
      </c>
      <c r="F31" s="2" t="s">
        <v>47</v>
      </c>
      <c r="G31" s="2" t="s">
        <v>12</v>
      </c>
      <c r="H31" s="2" t="s">
        <v>56</v>
      </c>
      <c r="I31" s="1">
        <v>40658.770833333336</v>
      </c>
    </row>
    <row r="32" spans="1:9" x14ac:dyDescent="0.3">
      <c r="A32" s="1">
        <v>40658.770833333336</v>
      </c>
      <c r="B32" s="2" t="s">
        <v>57</v>
      </c>
      <c r="C32" s="2" t="s">
        <v>23</v>
      </c>
      <c r="D32" s="2" t="s">
        <v>58</v>
      </c>
      <c r="E32" s="2">
        <v>6400</v>
      </c>
      <c r="F32" s="2" t="s">
        <v>11</v>
      </c>
      <c r="G32" s="2" t="s">
        <v>12</v>
      </c>
      <c r="H32" s="2" t="s">
        <v>59</v>
      </c>
      <c r="I32" s="1">
        <v>40658.770833333336</v>
      </c>
    </row>
    <row r="33" spans="1:9" x14ac:dyDescent="0.3">
      <c r="A33" s="1">
        <v>40661.770833333336</v>
      </c>
      <c r="B33" s="2" t="s">
        <v>69</v>
      </c>
      <c r="C33" s="2" t="s">
        <v>70</v>
      </c>
      <c r="D33" s="2" t="s">
        <v>71</v>
      </c>
      <c r="E33" s="2">
        <v>41</v>
      </c>
      <c r="F33" s="2" t="s">
        <v>11</v>
      </c>
      <c r="G33" s="2" t="s">
        <v>38</v>
      </c>
      <c r="H33" s="2" t="s">
        <v>72</v>
      </c>
      <c r="I33" s="1">
        <v>40691.770833333336</v>
      </c>
    </row>
    <row r="34" spans="1:9" x14ac:dyDescent="0.3">
      <c r="A34" s="1">
        <v>40662.770833333336</v>
      </c>
      <c r="B34" s="2" t="s">
        <v>44</v>
      </c>
      <c r="C34" s="2" t="s">
        <v>27</v>
      </c>
      <c r="D34" s="2" t="s">
        <v>60</v>
      </c>
      <c r="E34" s="2">
        <v>100</v>
      </c>
      <c r="F34" s="2" t="s">
        <v>47</v>
      </c>
      <c r="G34" s="2" t="s">
        <v>12</v>
      </c>
      <c r="H34" s="2" t="s">
        <v>48</v>
      </c>
      <c r="I34" s="1">
        <v>40662.770833333336</v>
      </c>
    </row>
    <row r="35" spans="1:9" x14ac:dyDescent="0.3">
      <c r="A35" s="1">
        <v>40662.770833333336</v>
      </c>
      <c r="B35" s="2" t="s">
        <v>44</v>
      </c>
      <c r="C35" s="2" t="s">
        <v>27</v>
      </c>
      <c r="D35" s="2" t="s">
        <v>60</v>
      </c>
      <c r="E35" s="2">
        <v>-100</v>
      </c>
      <c r="F35" s="2" t="s">
        <v>47</v>
      </c>
      <c r="G35" s="2" t="s">
        <v>38</v>
      </c>
      <c r="H35" s="2" t="s">
        <v>48</v>
      </c>
      <c r="I35" s="1">
        <v>40662.770833333336</v>
      </c>
    </row>
    <row r="36" spans="1:9" x14ac:dyDescent="0.3">
      <c r="A36" s="1">
        <v>40663.770833333336</v>
      </c>
      <c r="B36" s="2" t="s">
        <v>14</v>
      </c>
      <c r="C36" s="2" t="s">
        <v>73</v>
      </c>
      <c r="D36" s="2" t="s">
        <v>16</v>
      </c>
      <c r="E36" s="2">
        <v>179</v>
      </c>
      <c r="F36" s="2" t="s">
        <v>11</v>
      </c>
      <c r="G36" s="2" t="s">
        <v>12</v>
      </c>
      <c r="H36" s="2" t="s">
        <v>17</v>
      </c>
      <c r="I36" s="1">
        <v>40693.770833333336</v>
      </c>
    </row>
    <row r="37" spans="1:9" x14ac:dyDescent="0.3">
      <c r="A37" s="1">
        <v>40663.770833333336</v>
      </c>
      <c r="B37" s="2" t="s">
        <v>74</v>
      </c>
      <c r="C37" s="2" t="s">
        <v>32</v>
      </c>
      <c r="D37" s="2" t="s">
        <v>75</v>
      </c>
      <c r="E37" s="2">
        <v>220</v>
      </c>
      <c r="F37" s="2" t="s">
        <v>11</v>
      </c>
      <c r="G37" s="2" t="s">
        <v>12</v>
      </c>
      <c r="H37" s="2" t="s">
        <v>76</v>
      </c>
      <c r="I37" s="1">
        <v>40693.770833333336</v>
      </c>
    </row>
    <row r="38" spans="1:9" x14ac:dyDescent="0.3">
      <c r="A38" s="1">
        <v>40667.770833333336</v>
      </c>
      <c r="B38" s="2" t="s">
        <v>22</v>
      </c>
      <c r="C38" s="2" t="s">
        <v>23</v>
      </c>
      <c r="D38" s="2" t="s">
        <v>24</v>
      </c>
      <c r="E38" s="2">
        <v>340</v>
      </c>
      <c r="F38" s="2" t="s">
        <v>11</v>
      </c>
      <c r="G38" s="2" t="s">
        <v>12</v>
      </c>
      <c r="H38" s="2" t="s">
        <v>25</v>
      </c>
      <c r="I38" s="1">
        <v>40667.770833333336</v>
      </c>
    </row>
    <row r="39" spans="1:9" x14ac:dyDescent="0.3">
      <c r="A39" s="1">
        <v>40669.770833333336</v>
      </c>
      <c r="B39" s="2" t="s">
        <v>77</v>
      </c>
      <c r="C39" s="2" t="s">
        <v>78</v>
      </c>
      <c r="D39" s="2" t="s">
        <v>79</v>
      </c>
      <c r="E39" s="2">
        <v>563</v>
      </c>
      <c r="F39" s="2" t="s">
        <v>11</v>
      </c>
      <c r="G39" s="2" t="s">
        <v>12</v>
      </c>
      <c r="H39" s="2" t="s">
        <v>43</v>
      </c>
      <c r="I39" s="1">
        <v>40669.770833333336</v>
      </c>
    </row>
    <row r="40" spans="1:9" x14ac:dyDescent="0.3">
      <c r="A40" s="1">
        <v>40669.770833333336</v>
      </c>
      <c r="B40" s="2" t="s">
        <v>80</v>
      </c>
      <c r="C40" s="2" t="s">
        <v>32</v>
      </c>
      <c r="D40" s="2" t="s">
        <v>81</v>
      </c>
      <c r="E40" s="2">
        <v>982</v>
      </c>
      <c r="F40" s="2" t="s">
        <v>11</v>
      </c>
      <c r="G40" s="2" t="s">
        <v>12</v>
      </c>
      <c r="H40" s="2" t="s">
        <v>82</v>
      </c>
      <c r="I40" s="1">
        <v>40699.770833333336</v>
      </c>
    </row>
    <row r="41" spans="1:9" x14ac:dyDescent="0.3">
      <c r="A41" s="1">
        <v>40677.770833333336</v>
      </c>
      <c r="B41" s="2" t="s">
        <v>26</v>
      </c>
      <c r="C41" s="2" t="s">
        <v>27</v>
      </c>
      <c r="D41" s="2" t="s">
        <v>28</v>
      </c>
      <c r="E41" s="2">
        <v>80</v>
      </c>
      <c r="F41" s="2" t="s">
        <v>11</v>
      </c>
      <c r="G41" s="2" t="s">
        <v>12</v>
      </c>
      <c r="H41" s="2" t="s">
        <v>29</v>
      </c>
      <c r="I41" s="1">
        <v>40677.770833333336</v>
      </c>
    </row>
    <row r="42" spans="1:9" x14ac:dyDescent="0.3">
      <c r="A42" s="1">
        <v>40677.770833333336</v>
      </c>
      <c r="B42" s="2" t="s">
        <v>26</v>
      </c>
      <c r="C42" s="2" t="s">
        <v>27</v>
      </c>
      <c r="D42" s="2" t="s">
        <v>28</v>
      </c>
      <c r="E42" s="2">
        <v>35</v>
      </c>
      <c r="F42" s="2" t="s">
        <v>11</v>
      </c>
      <c r="G42" s="2" t="s">
        <v>30</v>
      </c>
      <c r="H42" s="2" t="s">
        <v>29</v>
      </c>
      <c r="I42" s="1">
        <v>40677.770833333336</v>
      </c>
    </row>
    <row r="43" spans="1:9" x14ac:dyDescent="0.3">
      <c r="A43" s="1">
        <v>40677.770833333336</v>
      </c>
      <c r="B43" s="2" t="s">
        <v>31</v>
      </c>
      <c r="C43" s="2" t="s">
        <v>32</v>
      </c>
      <c r="D43" s="2" t="s">
        <v>33</v>
      </c>
      <c r="E43" s="2">
        <v>1000</v>
      </c>
      <c r="F43" s="2" t="s">
        <v>11</v>
      </c>
      <c r="G43" s="2" t="s">
        <v>12</v>
      </c>
      <c r="H43" s="2" t="s">
        <v>34</v>
      </c>
      <c r="I43" s="1">
        <v>40695.770833333336</v>
      </c>
    </row>
    <row r="44" spans="1:9" x14ac:dyDescent="0.3">
      <c r="A44" s="1">
        <v>40682.770833333336</v>
      </c>
      <c r="B44" s="2" t="s">
        <v>44</v>
      </c>
      <c r="C44" s="2" t="s">
        <v>45</v>
      </c>
      <c r="D44" s="2" t="s">
        <v>46</v>
      </c>
      <c r="E44" s="2">
        <v>-20000</v>
      </c>
      <c r="F44" s="2" t="s">
        <v>47</v>
      </c>
      <c r="G44" s="2" t="s">
        <v>30</v>
      </c>
      <c r="H44" s="2" t="s">
        <v>48</v>
      </c>
      <c r="I44" s="1">
        <v>40682.770833333336</v>
      </c>
    </row>
    <row r="45" spans="1:9" x14ac:dyDescent="0.3">
      <c r="A45" s="1">
        <v>40682.770833333336</v>
      </c>
      <c r="B45" s="2" t="s">
        <v>44</v>
      </c>
      <c r="C45" s="2" t="s">
        <v>45</v>
      </c>
      <c r="D45" s="2" t="s">
        <v>46</v>
      </c>
      <c r="E45" s="2">
        <v>20000</v>
      </c>
      <c r="F45" s="2" t="s">
        <v>47</v>
      </c>
      <c r="G45" s="2" t="s">
        <v>12</v>
      </c>
      <c r="H45" s="2" t="s">
        <v>48</v>
      </c>
      <c r="I45" s="1">
        <v>40682.770833333336</v>
      </c>
    </row>
    <row r="46" spans="1:9" x14ac:dyDescent="0.3">
      <c r="A46" s="1">
        <v>40688.770833333336</v>
      </c>
      <c r="B46" s="2" t="s">
        <v>44</v>
      </c>
      <c r="C46" s="2" t="s">
        <v>49</v>
      </c>
      <c r="D46" s="2" t="s">
        <v>50</v>
      </c>
      <c r="E46" s="2">
        <v>20000</v>
      </c>
      <c r="F46" s="2" t="s">
        <v>47</v>
      </c>
      <c r="G46" s="2" t="s">
        <v>30</v>
      </c>
      <c r="H46" s="2" t="s">
        <v>51</v>
      </c>
      <c r="I46" s="1">
        <v>40688.770833333336</v>
      </c>
    </row>
    <row r="47" spans="1:9" x14ac:dyDescent="0.3">
      <c r="A47" s="1">
        <v>40688.770833333336</v>
      </c>
      <c r="B47" s="2" t="s">
        <v>52</v>
      </c>
      <c r="C47" s="2" t="s">
        <v>23</v>
      </c>
      <c r="D47" s="2" t="s">
        <v>53</v>
      </c>
      <c r="E47" s="2">
        <v>220</v>
      </c>
      <c r="F47" s="2" t="s">
        <v>47</v>
      </c>
      <c r="G47" s="2" t="s">
        <v>12</v>
      </c>
      <c r="H47" s="2" t="s">
        <v>54</v>
      </c>
      <c r="I47" s="1">
        <v>40688.770833333336</v>
      </c>
    </row>
    <row r="48" spans="1:9" x14ac:dyDescent="0.3">
      <c r="A48" s="1">
        <v>40688.770833333336</v>
      </c>
      <c r="B48" s="2" t="s">
        <v>52</v>
      </c>
      <c r="C48" s="2" t="s">
        <v>23</v>
      </c>
      <c r="D48" s="2" t="s">
        <v>55</v>
      </c>
      <c r="E48" s="2">
        <v>100</v>
      </c>
      <c r="F48" s="2" t="s">
        <v>47</v>
      </c>
      <c r="G48" s="2" t="s">
        <v>12</v>
      </c>
      <c r="H48" s="2" t="s">
        <v>56</v>
      </c>
      <c r="I48" s="1">
        <v>40688.770833333336</v>
      </c>
    </row>
  </sheetData>
  <pageMargins left="0.7" right="0.7" top="0.75" bottom="0.75" header="0.3" footer="0.3"/>
  <ignoredErrors>
    <ignoredError sqref="A2:I48 B1:D1 G1:I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2DF76-9A6F-4DD4-A218-6EE48A71FAC8}">
  <dimension ref="A1:I48"/>
  <sheetViews>
    <sheetView workbookViewId="0"/>
  </sheetViews>
  <sheetFormatPr defaultRowHeight="15.6" x14ac:dyDescent="0.3"/>
  <cols>
    <col min="1" max="1" width="17.69921875" customWidth="1"/>
    <col min="2" max="2" width="17.09765625" bestFit="1" customWidth="1"/>
    <col min="3" max="3" width="14.296875" bestFit="1" customWidth="1"/>
    <col min="4" max="4" width="23.796875" bestFit="1" customWidth="1"/>
    <col min="5" max="5" width="23" customWidth="1"/>
    <col min="6" max="6" width="12.09765625" customWidth="1"/>
    <col min="7" max="7" width="12.59765625" customWidth="1"/>
    <col min="8" max="8" width="15.69921875" customWidth="1"/>
    <col min="9" max="9" width="16.19921875" customWidth="1"/>
  </cols>
  <sheetData>
    <row r="1" spans="1:9" ht="18" x14ac:dyDescent="0.35">
      <c r="A1" s="8" t="s">
        <v>0</v>
      </c>
      <c r="B1" s="9" t="s">
        <v>1</v>
      </c>
      <c r="C1" s="9" t="s">
        <v>2</v>
      </c>
      <c r="D1" s="9" t="s">
        <v>3</v>
      </c>
      <c r="E1" s="9" t="s">
        <v>4</v>
      </c>
      <c r="F1" s="9" t="s">
        <v>83</v>
      </c>
      <c r="G1" s="9" t="s">
        <v>5</v>
      </c>
      <c r="H1" s="9" t="s">
        <v>6</v>
      </c>
      <c r="I1" s="10" t="s">
        <v>7</v>
      </c>
    </row>
    <row r="2" spans="1:9" x14ac:dyDescent="0.3">
      <c r="A2" s="6">
        <v>40587.770833333336</v>
      </c>
      <c r="B2" s="2" t="s">
        <v>8</v>
      </c>
      <c r="C2" s="2" t="s">
        <v>9</v>
      </c>
      <c r="D2" s="2" t="s">
        <v>10</v>
      </c>
      <c r="E2" s="2">
        <v>5100</v>
      </c>
      <c r="F2" s="2" t="s">
        <v>11</v>
      </c>
      <c r="G2" s="2" t="s">
        <v>12</v>
      </c>
      <c r="H2" s="2" t="s">
        <v>13</v>
      </c>
      <c r="I2" s="7">
        <v>40603.770833333336</v>
      </c>
    </row>
    <row r="3" spans="1:9" x14ac:dyDescent="0.3">
      <c r="A3" s="6">
        <v>40602.770833333336</v>
      </c>
      <c r="B3" s="2" t="s">
        <v>14</v>
      </c>
      <c r="C3" s="2" t="s">
        <v>15</v>
      </c>
      <c r="D3" s="2" t="s">
        <v>16</v>
      </c>
      <c r="E3" s="2">
        <v>179</v>
      </c>
      <c r="F3" s="2" t="s">
        <v>11</v>
      </c>
      <c r="G3" s="2" t="s">
        <v>12</v>
      </c>
      <c r="H3" s="2" t="s">
        <v>17</v>
      </c>
      <c r="I3" s="7">
        <v>40632.770833333336</v>
      </c>
    </row>
    <row r="4" spans="1:9" x14ac:dyDescent="0.3">
      <c r="A4" s="6">
        <v>40603.770833333336</v>
      </c>
      <c r="B4" s="2" t="s">
        <v>18</v>
      </c>
      <c r="C4" s="2" t="s">
        <v>19</v>
      </c>
      <c r="D4" s="2" t="s">
        <v>20</v>
      </c>
      <c r="E4" s="2">
        <v>478</v>
      </c>
      <c r="F4" s="2" t="s">
        <v>11</v>
      </c>
      <c r="G4" s="2" t="s">
        <v>12</v>
      </c>
      <c r="H4" s="2" t="s">
        <v>21</v>
      </c>
      <c r="I4" s="7">
        <v>40633.770833333336</v>
      </c>
    </row>
    <row r="5" spans="1:9" x14ac:dyDescent="0.3">
      <c r="A5" s="6">
        <v>40606.770833333336</v>
      </c>
      <c r="B5" s="2" t="s">
        <v>22</v>
      </c>
      <c r="C5" s="2" t="s">
        <v>23</v>
      </c>
      <c r="D5" s="2" t="s">
        <v>24</v>
      </c>
      <c r="E5" s="2">
        <v>340</v>
      </c>
      <c r="F5" s="2" t="s">
        <v>11</v>
      </c>
      <c r="G5" s="2" t="s">
        <v>12</v>
      </c>
      <c r="H5" s="2" t="s">
        <v>25</v>
      </c>
      <c r="I5" s="7">
        <v>40606.770833333336</v>
      </c>
    </row>
    <row r="6" spans="1:9" x14ac:dyDescent="0.3">
      <c r="A6" s="6">
        <v>40616.770833333336</v>
      </c>
      <c r="B6" s="2" t="s">
        <v>26</v>
      </c>
      <c r="C6" s="2" t="s">
        <v>27</v>
      </c>
      <c r="D6" s="2" t="s">
        <v>28</v>
      </c>
      <c r="E6" s="2">
        <v>50</v>
      </c>
      <c r="F6" s="2" t="s">
        <v>11</v>
      </c>
      <c r="G6" s="2" t="s">
        <v>12</v>
      </c>
      <c r="H6" s="2" t="s">
        <v>29</v>
      </c>
      <c r="I6" s="7">
        <v>40616.770833333336</v>
      </c>
    </row>
    <row r="7" spans="1:9" x14ac:dyDescent="0.3">
      <c r="A7" s="6">
        <v>40616.770833333336</v>
      </c>
      <c r="B7" s="2" t="s">
        <v>26</v>
      </c>
      <c r="C7" s="2" t="s">
        <v>27</v>
      </c>
      <c r="D7" s="2" t="s">
        <v>28</v>
      </c>
      <c r="E7" s="2">
        <v>35</v>
      </c>
      <c r="F7" s="2" t="s">
        <v>11</v>
      </c>
      <c r="G7" s="2" t="s">
        <v>30</v>
      </c>
      <c r="H7" s="2" t="s">
        <v>29</v>
      </c>
      <c r="I7" s="7">
        <v>40616.770833333336</v>
      </c>
    </row>
    <row r="8" spans="1:9" x14ac:dyDescent="0.3">
      <c r="A8" s="6">
        <v>40616.770833333336</v>
      </c>
      <c r="B8" s="2" t="s">
        <v>31</v>
      </c>
      <c r="C8" s="2" t="s">
        <v>32</v>
      </c>
      <c r="D8" s="2" t="s">
        <v>33</v>
      </c>
      <c r="E8" s="2">
        <v>1000</v>
      </c>
      <c r="F8" s="2" t="s">
        <v>11</v>
      </c>
      <c r="G8" s="2" t="s">
        <v>12</v>
      </c>
      <c r="H8" s="2" t="s">
        <v>34</v>
      </c>
      <c r="I8" s="7">
        <v>40634.770833333336</v>
      </c>
    </row>
    <row r="9" spans="1:9" x14ac:dyDescent="0.3">
      <c r="A9" s="6">
        <v>40616.770833333336</v>
      </c>
      <c r="B9" s="2" t="s">
        <v>35</v>
      </c>
      <c r="C9" s="2" t="s">
        <v>36</v>
      </c>
      <c r="D9" s="2" t="s">
        <v>37</v>
      </c>
      <c r="E9" s="2">
        <v>90</v>
      </c>
      <c r="F9" s="2" t="s">
        <v>11</v>
      </c>
      <c r="G9" s="2" t="s">
        <v>38</v>
      </c>
      <c r="H9" s="2" t="s">
        <v>39</v>
      </c>
      <c r="I9" s="7">
        <v>40616.770833333336</v>
      </c>
    </row>
    <row r="10" spans="1:9" x14ac:dyDescent="0.3">
      <c r="A10" s="6">
        <v>40619.770833333336</v>
      </c>
      <c r="B10" s="2" t="s">
        <v>40</v>
      </c>
      <c r="C10" s="2" t="s">
        <v>41</v>
      </c>
      <c r="D10" s="2" t="s">
        <v>42</v>
      </c>
      <c r="E10" s="2">
        <v>200</v>
      </c>
      <c r="F10" s="2" t="s">
        <v>11</v>
      </c>
      <c r="G10" s="2" t="s">
        <v>12</v>
      </c>
      <c r="H10" s="2" t="s">
        <v>43</v>
      </c>
      <c r="I10" s="7">
        <v>40619.770833333336</v>
      </c>
    </row>
    <row r="11" spans="1:9" x14ac:dyDescent="0.3">
      <c r="A11" s="6">
        <v>40621.770833333336</v>
      </c>
      <c r="B11" s="2" t="s">
        <v>44</v>
      </c>
      <c r="C11" s="2" t="s">
        <v>45</v>
      </c>
      <c r="D11" s="2" t="s">
        <v>46</v>
      </c>
      <c r="E11" s="2">
        <v>-15000</v>
      </c>
      <c r="F11" s="2" t="s">
        <v>47</v>
      </c>
      <c r="G11" s="2" t="s">
        <v>30</v>
      </c>
      <c r="H11" s="2" t="s">
        <v>48</v>
      </c>
      <c r="I11" s="7">
        <v>40621.770833333336</v>
      </c>
    </row>
    <row r="12" spans="1:9" x14ac:dyDescent="0.3">
      <c r="A12" s="6">
        <v>40621.770833333336</v>
      </c>
      <c r="B12" s="2" t="s">
        <v>44</v>
      </c>
      <c r="C12" s="2" t="s">
        <v>45</v>
      </c>
      <c r="D12" s="2" t="s">
        <v>46</v>
      </c>
      <c r="E12" s="2">
        <v>15000</v>
      </c>
      <c r="F12" s="2" t="s">
        <v>47</v>
      </c>
      <c r="G12" s="2" t="s">
        <v>12</v>
      </c>
      <c r="H12" s="2" t="s">
        <v>48</v>
      </c>
      <c r="I12" s="7">
        <v>40621.770833333336</v>
      </c>
    </row>
    <row r="13" spans="1:9" x14ac:dyDescent="0.3">
      <c r="A13" s="6">
        <v>40627.770833333336</v>
      </c>
      <c r="B13" s="2" t="s">
        <v>44</v>
      </c>
      <c r="C13" s="2" t="s">
        <v>49</v>
      </c>
      <c r="D13" s="2" t="s">
        <v>50</v>
      </c>
      <c r="E13" s="2">
        <v>13000</v>
      </c>
      <c r="F13" s="2" t="s">
        <v>47</v>
      </c>
      <c r="G13" s="2" t="s">
        <v>30</v>
      </c>
      <c r="H13" s="2" t="s">
        <v>51</v>
      </c>
      <c r="I13" s="7">
        <v>40627.770833333336</v>
      </c>
    </row>
    <row r="14" spans="1:9" x14ac:dyDescent="0.3">
      <c r="A14" s="6">
        <v>40627.770833333336</v>
      </c>
      <c r="B14" s="2" t="s">
        <v>52</v>
      </c>
      <c r="C14" s="2" t="s">
        <v>23</v>
      </c>
      <c r="D14" s="2" t="s">
        <v>53</v>
      </c>
      <c r="E14" s="2">
        <v>220</v>
      </c>
      <c r="F14" s="2" t="s">
        <v>47</v>
      </c>
      <c r="G14" s="2" t="s">
        <v>12</v>
      </c>
      <c r="H14" s="2" t="s">
        <v>54</v>
      </c>
      <c r="I14" s="7">
        <v>40627.770833333336</v>
      </c>
    </row>
    <row r="15" spans="1:9" x14ac:dyDescent="0.3">
      <c r="A15" s="6">
        <v>40627.770833333336</v>
      </c>
      <c r="B15" s="2" t="s">
        <v>52</v>
      </c>
      <c r="C15" s="2" t="s">
        <v>23</v>
      </c>
      <c r="D15" s="2" t="s">
        <v>55</v>
      </c>
      <c r="E15" s="2">
        <v>100</v>
      </c>
      <c r="F15" s="2" t="s">
        <v>47</v>
      </c>
      <c r="G15" s="2" t="s">
        <v>12</v>
      </c>
      <c r="H15" s="2" t="s">
        <v>56</v>
      </c>
      <c r="I15" s="7">
        <v>40627.770833333336</v>
      </c>
    </row>
    <row r="16" spans="1:9" x14ac:dyDescent="0.3">
      <c r="A16" s="6">
        <v>40627.770833333336</v>
      </c>
      <c r="B16" s="2" t="s">
        <v>57</v>
      </c>
      <c r="C16" s="2" t="s">
        <v>23</v>
      </c>
      <c r="D16" s="2" t="s">
        <v>58</v>
      </c>
      <c r="E16" s="2">
        <v>6400</v>
      </c>
      <c r="F16" s="2" t="s">
        <v>11</v>
      </c>
      <c r="G16" s="2" t="s">
        <v>12</v>
      </c>
      <c r="H16" s="2" t="s">
        <v>59</v>
      </c>
      <c r="I16" s="7">
        <v>40627.770833333336</v>
      </c>
    </row>
    <row r="17" spans="1:9" x14ac:dyDescent="0.3">
      <c r="A17" s="6">
        <v>40632.770833333336</v>
      </c>
      <c r="B17" s="2" t="s">
        <v>44</v>
      </c>
      <c r="C17" s="2" t="s">
        <v>27</v>
      </c>
      <c r="D17" s="2" t="s">
        <v>60</v>
      </c>
      <c r="E17" s="2">
        <v>100</v>
      </c>
      <c r="F17" s="2" t="s">
        <v>47</v>
      </c>
      <c r="G17" s="2" t="s">
        <v>12</v>
      </c>
      <c r="H17" s="2" t="s">
        <v>48</v>
      </c>
      <c r="I17" s="7">
        <v>40632.770833333336</v>
      </c>
    </row>
    <row r="18" spans="1:9" x14ac:dyDescent="0.3">
      <c r="A18" s="6">
        <v>40632.770833333336</v>
      </c>
      <c r="B18" s="2" t="s">
        <v>44</v>
      </c>
      <c r="C18" s="2" t="s">
        <v>27</v>
      </c>
      <c r="D18" s="2" t="s">
        <v>60</v>
      </c>
      <c r="E18" s="2">
        <v>-100</v>
      </c>
      <c r="F18" s="2" t="s">
        <v>47</v>
      </c>
      <c r="G18" s="2" t="s">
        <v>38</v>
      </c>
      <c r="H18" s="2" t="s">
        <v>48</v>
      </c>
      <c r="I18" s="7">
        <v>40632.770833333336</v>
      </c>
    </row>
    <row r="19" spans="1:9" x14ac:dyDescent="0.3">
      <c r="A19" s="6">
        <v>40633.770833333336</v>
      </c>
      <c r="B19" s="2" t="s">
        <v>14</v>
      </c>
      <c r="C19" s="2" t="s">
        <v>61</v>
      </c>
      <c r="D19" s="2" t="s">
        <v>16</v>
      </c>
      <c r="E19" s="2">
        <v>179</v>
      </c>
      <c r="F19" s="2" t="s">
        <v>11</v>
      </c>
      <c r="G19" s="2" t="s">
        <v>12</v>
      </c>
      <c r="H19" s="2" t="s">
        <v>17</v>
      </c>
      <c r="I19" s="7">
        <v>40663.770833333336</v>
      </c>
    </row>
    <row r="20" spans="1:9" x14ac:dyDescent="0.3">
      <c r="A20" s="6">
        <v>40637.770833333336</v>
      </c>
      <c r="B20" s="2" t="s">
        <v>22</v>
      </c>
      <c r="C20" s="2" t="s">
        <v>23</v>
      </c>
      <c r="D20" s="2" t="s">
        <v>24</v>
      </c>
      <c r="E20" s="2">
        <v>340</v>
      </c>
      <c r="F20" s="2" t="s">
        <v>11</v>
      </c>
      <c r="G20" s="2" t="s">
        <v>12</v>
      </c>
      <c r="H20" s="2" t="s">
        <v>25</v>
      </c>
      <c r="I20" s="7">
        <v>40637.770833333336</v>
      </c>
    </row>
    <row r="21" spans="1:9" x14ac:dyDescent="0.3">
      <c r="A21" s="6">
        <v>40644.770833333336</v>
      </c>
      <c r="B21" s="2" t="s">
        <v>35</v>
      </c>
      <c r="C21" s="2" t="s">
        <v>36</v>
      </c>
      <c r="D21" s="2" t="s">
        <v>37</v>
      </c>
      <c r="E21" s="2">
        <v>87</v>
      </c>
      <c r="F21" s="2" t="s">
        <v>11</v>
      </c>
      <c r="G21" s="2" t="s">
        <v>38</v>
      </c>
      <c r="H21" s="2" t="s">
        <v>39</v>
      </c>
      <c r="I21" s="7">
        <v>40644.770833333336</v>
      </c>
    </row>
    <row r="22" spans="1:9" x14ac:dyDescent="0.3">
      <c r="A22" s="6">
        <v>40647.770833333336</v>
      </c>
      <c r="B22" s="2" t="s">
        <v>26</v>
      </c>
      <c r="C22" s="2" t="s">
        <v>27</v>
      </c>
      <c r="D22" s="2" t="s">
        <v>28</v>
      </c>
      <c r="E22" s="2">
        <v>80</v>
      </c>
      <c r="F22" s="2" t="s">
        <v>11</v>
      </c>
      <c r="G22" s="2" t="s">
        <v>12</v>
      </c>
      <c r="H22" s="2" t="s">
        <v>29</v>
      </c>
      <c r="I22" s="7">
        <v>40647.770833333336</v>
      </c>
    </row>
    <row r="23" spans="1:9" x14ac:dyDescent="0.3">
      <c r="A23" s="6">
        <v>40647.770833333336</v>
      </c>
      <c r="B23" s="2" t="s">
        <v>26</v>
      </c>
      <c r="C23" s="2" t="s">
        <v>27</v>
      </c>
      <c r="D23" s="2" t="s">
        <v>28</v>
      </c>
      <c r="E23" s="2">
        <v>35</v>
      </c>
      <c r="F23" s="2" t="s">
        <v>11</v>
      </c>
      <c r="G23" s="2" t="s">
        <v>30</v>
      </c>
      <c r="H23" s="2" t="s">
        <v>29</v>
      </c>
      <c r="I23" s="7">
        <v>40647.770833333336</v>
      </c>
    </row>
    <row r="24" spans="1:9" x14ac:dyDescent="0.3">
      <c r="A24" s="6">
        <v>40647.770833333336</v>
      </c>
      <c r="B24" s="2" t="s">
        <v>31</v>
      </c>
      <c r="C24" s="2" t="s">
        <v>32</v>
      </c>
      <c r="D24" s="2" t="s">
        <v>33</v>
      </c>
      <c r="E24" s="2">
        <v>1000</v>
      </c>
      <c r="F24" s="2" t="s">
        <v>11</v>
      </c>
      <c r="G24" s="2" t="s">
        <v>12</v>
      </c>
      <c r="H24" s="2" t="s">
        <v>34</v>
      </c>
      <c r="I24" s="7">
        <v>40665.770833333336</v>
      </c>
    </row>
    <row r="25" spans="1:9" x14ac:dyDescent="0.3">
      <c r="A25" s="6">
        <v>40652.770833333336</v>
      </c>
      <c r="B25" s="2" t="s">
        <v>44</v>
      </c>
      <c r="C25" s="2" t="s">
        <v>45</v>
      </c>
      <c r="D25" s="2" t="s">
        <v>46</v>
      </c>
      <c r="E25" s="2">
        <v>-20000</v>
      </c>
      <c r="F25" s="2" t="s">
        <v>47</v>
      </c>
      <c r="G25" s="2" t="s">
        <v>30</v>
      </c>
      <c r="H25" s="2" t="s">
        <v>48</v>
      </c>
      <c r="I25" s="7">
        <v>40652.770833333336</v>
      </c>
    </row>
    <row r="26" spans="1:9" x14ac:dyDescent="0.3">
      <c r="A26" s="6">
        <v>40652.770833333336</v>
      </c>
      <c r="B26" s="2" t="s">
        <v>44</v>
      </c>
      <c r="C26" s="2" t="s">
        <v>45</v>
      </c>
      <c r="D26" s="2" t="s">
        <v>46</v>
      </c>
      <c r="E26" s="2">
        <v>20000</v>
      </c>
      <c r="F26" s="2" t="s">
        <v>47</v>
      </c>
      <c r="G26" s="2" t="s">
        <v>12</v>
      </c>
      <c r="H26" s="2" t="s">
        <v>48</v>
      </c>
      <c r="I26" s="7">
        <v>40652.770833333336</v>
      </c>
    </row>
    <row r="27" spans="1:9" x14ac:dyDescent="0.3">
      <c r="A27" s="6">
        <v>40657.770833333336</v>
      </c>
      <c r="B27" s="2" t="s">
        <v>62</v>
      </c>
      <c r="C27" s="2" t="s">
        <v>63</v>
      </c>
      <c r="D27" s="2" t="s">
        <v>64</v>
      </c>
      <c r="E27" s="2">
        <v>1300</v>
      </c>
      <c r="F27" s="2" t="s">
        <v>47</v>
      </c>
      <c r="G27" s="2" t="s">
        <v>12</v>
      </c>
      <c r="H27" s="2" t="s">
        <v>65</v>
      </c>
      <c r="I27" s="7">
        <v>40657.770833333336</v>
      </c>
    </row>
    <row r="28" spans="1:9" x14ac:dyDescent="0.3">
      <c r="A28" s="6">
        <v>40658.770833333336</v>
      </c>
      <c r="B28" s="2" t="s">
        <v>44</v>
      </c>
      <c r="C28" s="2" t="s">
        <v>49</v>
      </c>
      <c r="D28" s="2" t="s">
        <v>50</v>
      </c>
      <c r="E28" s="2">
        <v>20000</v>
      </c>
      <c r="F28" s="2" t="s">
        <v>47</v>
      </c>
      <c r="G28" s="2" t="s">
        <v>30</v>
      </c>
      <c r="H28" s="2" t="s">
        <v>51</v>
      </c>
      <c r="I28" s="7">
        <v>40658.770833333336</v>
      </c>
    </row>
    <row r="29" spans="1:9" x14ac:dyDescent="0.3">
      <c r="A29" s="6">
        <v>40658.770833333336</v>
      </c>
      <c r="B29" s="2" t="s">
        <v>66</v>
      </c>
      <c r="C29" s="2" t="s">
        <v>32</v>
      </c>
      <c r="D29" s="2" t="s">
        <v>67</v>
      </c>
      <c r="E29" s="2">
        <v>3000</v>
      </c>
      <c r="F29" s="2" t="s">
        <v>11</v>
      </c>
      <c r="G29" s="2" t="s">
        <v>12</v>
      </c>
      <c r="H29" s="2" t="s">
        <v>68</v>
      </c>
      <c r="I29" s="7">
        <v>40688.770833333336</v>
      </c>
    </row>
    <row r="30" spans="1:9" x14ac:dyDescent="0.3">
      <c r="A30" s="6">
        <v>40658.770833333336</v>
      </c>
      <c r="B30" s="2" t="s">
        <v>52</v>
      </c>
      <c r="C30" s="2" t="s">
        <v>23</v>
      </c>
      <c r="D30" s="2" t="s">
        <v>53</v>
      </c>
      <c r="E30" s="2">
        <v>220</v>
      </c>
      <c r="F30" s="2" t="s">
        <v>47</v>
      </c>
      <c r="G30" s="2" t="s">
        <v>12</v>
      </c>
      <c r="H30" s="2" t="s">
        <v>54</v>
      </c>
      <c r="I30" s="7">
        <v>40658.770833333336</v>
      </c>
    </row>
    <row r="31" spans="1:9" x14ac:dyDescent="0.3">
      <c r="A31" s="6">
        <v>40658.770833333336</v>
      </c>
      <c r="B31" s="2" t="s">
        <v>52</v>
      </c>
      <c r="C31" s="2" t="s">
        <v>23</v>
      </c>
      <c r="D31" s="2" t="s">
        <v>55</v>
      </c>
      <c r="E31" s="2">
        <v>100</v>
      </c>
      <c r="F31" s="2" t="s">
        <v>47</v>
      </c>
      <c r="G31" s="2" t="s">
        <v>12</v>
      </c>
      <c r="H31" s="2" t="s">
        <v>56</v>
      </c>
      <c r="I31" s="7">
        <v>40658.770833333336</v>
      </c>
    </row>
    <row r="32" spans="1:9" x14ac:dyDescent="0.3">
      <c r="A32" s="6">
        <v>40658.770833333336</v>
      </c>
      <c r="B32" s="2" t="s">
        <v>57</v>
      </c>
      <c r="C32" s="2" t="s">
        <v>23</v>
      </c>
      <c r="D32" s="2" t="s">
        <v>58</v>
      </c>
      <c r="E32" s="2">
        <v>6400</v>
      </c>
      <c r="F32" s="2" t="s">
        <v>11</v>
      </c>
      <c r="G32" s="2" t="s">
        <v>12</v>
      </c>
      <c r="H32" s="2" t="s">
        <v>59</v>
      </c>
      <c r="I32" s="7">
        <v>40658.770833333336</v>
      </c>
    </row>
    <row r="33" spans="1:9" x14ac:dyDescent="0.3">
      <c r="A33" s="6">
        <v>40661.770833333336</v>
      </c>
      <c r="B33" s="2" t="s">
        <v>69</v>
      </c>
      <c r="C33" s="2" t="s">
        <v>70</v>
      </c>
      <c r="D33" s="2" t="s">
        <v>71</v>
      </c>
      <c r="E33" s="2">
        <v>41</v>
      </c>
      <c r="F33" s="2" t="s">
        <v>11</v>
      </c>
      <c r="G33" s="2" t="s">
        <v>38</v>
      </c>
      <c r="H33" s="2" t="s">
        <v>72</v>
      </c>
      <c r="I33" s="7">
        <v>40691.770833333336</v>
      </c>
    </row>
    <row r="34" spans="1:9" x14ac:dyDescent="0.3">
      <c r="A34" s="6">
        <v>40662.770833333336</v>
      </c>
      <c r="B34" s="2" t="s">
        <v>44</v>
      </c>
      <c r="C34" s="2" t="s">
        <v>27</v>
      </c>
      <c r="D34" s="2" t="s">
        <v>60</v>
      </c>
      <c r="E34" s="2">
        <v>100</v>
      </c>
      <c r="F34" s="2" t="s">
        <v>47</v>
      </c>
      <c r="G34" s="2" t="s">
        <v>12</v>
      </c>
      <c r="H34" s="2" t="s">
        <v>48</v>
      </c>
      <c r="I34" s="7">
        <v>40662.770833333336</v>
      </c>
    </row>
    <row r="35" spans="1:9" x14ac:dyDescent="0.3">
      <c r="A35" s="6">
        <v>40662.770833333336</v>
      </c>
      <c r="B35" s="2" t="s">
        <v>44</v>
      </c>
      <c r="C35" s="2" t="s">
        <v>27</v>
      </c>
      <c r="D35" s="2" t="s">
        <v>60</v>
      </c>
      <c r="E35" s="2">
        <v>-100</v>
      </c>
      <c r="F35" s="2" t="s">
        <v>47</v>
      </c>
      <c r="G35" s="2" t="s">
        <v>38</v>
      </c>
      <c r="H35" s="2" t="s">
        <v>48</v>
      </c>
      <c r="I35" s="7">
        <v>40662.770833333336</v>
      </c>
    </row>
    <row r="36" spans="1:9" x14ac:dyDescent="0.3">
      <c r="A36" s="6">
        <v>40663.770833333336</v>
      </c>
      <c r="B36" s="2" t="s">
        <v>14</v>
      </c>
      <c r="C36" s="2" t="s">
        <v>73</v>
      </c>
      <c r="D36" s="2" t="s">
        <v>16</v>
      </c>
      <c r="E36" s="2">
        <v>179</v>
      </c>
      <c r="F36" s="2" t="s">
        <v>11</v>
      </c>
      <c r="G36" s="2" t="s">
        <v>12</v>
      </c>
      <c r="H36" s="2" t="s">
        <v>17</v>
      </c>
      <c r="I36" s="7">
        <v>40693.770833333336</v>
      </c>
    </row>
    <row r="37" spans="1:9" x14ac:dyDescent="0.3">
      <c r="A37" s="6">
        <v>40663.770833333336</v>
      </c>
      <c r="B37" s="2" t="s">
        <v>74</v>
      </c>
      <c r="C37" s="2" t="s">
        <v>32</v>
      </c>
      <c r="D37" s="2" t="s">
        <v>75</v>
      </c>
      <c r="E37" s="2">
        <v>220</v>
      </c>
      <c r="F37" s="2" t="s">
        <v>11</v>
      </c>
      <c r="G37" s="2" t="s">
        <v>12</v>
      </c>
      <c r="H37" s="2" t="s">
        <v>76</v>
      </c>
      <c r="I37" s="7">
        <v>40693.770833333336</v>
      </c>
    </row>
    <row r="38" spans="1:9" x14ac:dyDescent="0.3">
      <c r="A38" s="6">
        <v>40667.770833333336</v>
      </c>
      <c r="B38" s="2" t="s">
        <v>22</v>
      </c>
      <c r="C38" s="2" t="s">
        <v>23</v>
      </c>
      <c r="D38" s="2" t="s">
        <v>24</v>
      </c>
      <c r="E38" s="2">
        <v>340</v>
      </c>
      <c r="F38" s="2" t="s">
        <v>11</v>
      </c>
      <c r="G38" s="2" t="s">
        <v>12</v>
      </c>
      <c r="H38" s="2" t="s">
        <v>25</v>
      </c>
      <c r="I38" s="7">
        <v>40667.770833333336</v>
      </c>
    </row>
    <row r="39" spans="1:9" x14ac:dyDescent="0.3">
      <c r="A39" s="6">
        <v>40669.770833333336</v>
      </c>
      <c r="B39" s="2" t="s">
        <v>77</v>
      </c>
      <c r="C39" s="2" t="s">
        <v>78</v>
      </c>
      <c r="D39" s="2" t="s">
        <v>79</v>
      </c>
      <c r="E39" s="2">
        <v>563</v>
      </c>
      <c r="F39" s="2" t="s">
        <v>11</v>
      </c>
      <c r="G39" s="2" t="s">
        <v>12</v>
      </c>
      <c r="H39" s="2" t="s">
        <v>43</v>
      </c>
      <c r="I39" s="7">
        <v>40669.770833333336</v>
      </c>
    </row>
    <row r="40" spans="1:9" x14ac:dyDescent="0.3">
      <c r="A40" s="6">
        <v>40669.770833333336</v>
      </c>
      <c r="B40" s="2" t="s">
        <v>80</v>
      </c>
      <c r="C40" s="2" t="s">
        <v>32</v>
      </c>
      <c r="D40" s="2" t="s">
        <v>81</v>
      </c>
      <c r="E40" s="2">
        <v>982</v>
      </c>
      <c r="F40" s="2" t="s">
        <v>11</v>
      </c>
      <c r="G40" s="2" t="s">
        <v>12</v>
      </c>
      <c r="H40" s="2" t="s">
        <v>82</v>
      </c>
      <c r="I40" s="7">
        <v>40699.770833333336</v>
      </c>
    </row>
    <row r="41" spans="1:9" x14ac:dyDescent="0.3">
      <c r="A41" s="6">
        <v>40677.770833333336</v>
      </c>
      <c r="B41" s="2" t="s">
        <v>26</v>
      </c>
      <c r="C41" s="2" t="s">
        <v>27</v>
      </c>
      <c r="D41" s="2" t="s">
        <v>28</v>
      </c>
      <c r="E41" s="2">
        <v>80</v>
      </c>
      <c r="F41" s="2" t="s">
        <v>11</v>
      </c>
      <c r="G41" s="2" t="s">
        <v>12</v>
      </c>
      <c r="H41" s="2" t="s">
        <v>29</v>
      </c>
      <c r="I41" s="7">
        <v>40677.770833333336</v>
      </c>
    </row>
    <row r="42" spans="1:9" x14ac:dyDescent="0.3">
      <c r="A42" s="6">
        <v>40677.770833333336</v>
      </c>
      <c r="B42" s="2" t="s">
        <v>26</v>
      </c>
      <c r="C42" s="2" t="s">
        <v>27</v>
      </c>
      <c r="D42" s="2" t="s">
        <v>28</v>
      </c>
      <c r="E42" s="2">
        <v>35</v>
      </c>
      <c r="F42" s="2" t="s">
        <v>11</v>
      </c>
      <c r="G42" s="2" t="s">
        <v>30</v>
      </c>
      <c r="H42" s="2" t="s">
        <v>29</v>
      </c>
      <c r="I42" s="7">
        <v>40677.770833333336</v>
      </c>
    </row>
    <row r="43" spans="1:9" x14ac:dyDescent="0.3">
      <c r="A43" s="6">
        <v>40677.770833333336</v>
      </c>
      <c r="B43" s="2" t="s">
        <v>31</v>
      </c>
      <c r="C43" s="2" t="s">
        <v>32</v>
      </c>
      <c r="D43" s="2" t="s">
        <v>33</v>
      </c>
      <c r="E43" s="2">
        <v>1000</v>
      </c>
      <c r="F43" s="2" t="s">
        <v>11</v>
      </c>
      <c r="G43" s="2" t="s">
        <v>12</v>
      </c>
      <c r="H43" s="2" t="s">
        <v>34</v>
      </c>
      <c r="I43" s="7">
        <v>40695.770833333336</v>
      </c>
    </row>
    <row r="44" spans="1:9" x14ac:dyDescent="0.3">
      <c r="A44" s="6">
        <v>40682.770833333336</v>
      </c>
      <c r="B44" s="2" t="s">
        <v>44</v>
      </c>
      <c r="C44" s="2" t="s">
        <v>45</v>
      </c>
      <c r="D44" s="2" t="s">
        <v>46</v>
      </c>
      <c r="E44" s="2">
        <v>-20000</v>
      </c>
      <c r="F44" s="2" t="s">
        <v>47</v>
      </c>
      <c r="G44" s="2" t="s">
        <v>30</v>
      </c>
      <c r="H44" s="2" t="s">
        <v>48</v>
      </c>
      <c r="I44" s="7">
        <v>40682.770833333336</v>
      </c>
    </row>
    <row r="45" spans="1:9" x14ac:dyDescent="0.3">
      <c r="A45" s="6">
        <v>40682.770833333336</v>
      </c>
      <c r="B45" s="2" t="s">
        <v>44</v>
      </c>
      <c r="C45" s="2" t="s">
        <v>45</v>
      </c>
      <c r="D45" s="2" t="s">
        <v>46</v>
      </c>
      <c r="E45" s="2">
        <v>20000</v>
      </c>
      <c r="F45" s="2" t="s">
        <v>47</v>
      </c>
      <c r="G45" s="2" t="s">
        <v>12</v>
      </c>
      <c r="H45" s="2" t="s">
        <v>48</v>
      </c>
      <c r="I45" s="7">
        <v>40682.770833333336</v>
      </c>
    </row>
    <row r="46" spans="1:9" x14ac:dyDescent="0.3">
      <c r="A46" s="6">
        <v>40688.770833333336</v>
      </c>
      <c r="B46" s="2" t="s">
        <v>44</v>
      </c>
      <c r="C46" s="2" t="s">
        <v>49</v>
      </c>
      <c r="D46" s="2" t="s">
        <v>50</v>
      </c>
      <c r="E46" s="2">
        <v>20000</v>
      </c>
      <c r="F46" s="2" t="s">
        <v>47</v>
      </c>
      <c r="G46" s="2" t="s">
        <v>30</v>
      </c>
      <c r="H46" s="2" t="s">
        <v>51</v>
      </c>
      <c r="I46" s="7">
        <v>40688.770833333336</v>
      </c>
    </row>
    <row r="47" spans="1:9" x14ac:dyDescent="0.3">
      <c r="A47" s="6">
        <v>40688.770833333336</v>
      </c>
      <c r="B47" s="2" t="s">
        <v>52</v>
      </c>
      <c r="C47" s="2" t="s">
        <v>23</v>
      </c>
      <c r="D47" s="2" t="s">
        <v>53</v>
      </c>
      <c r="E47" s="2">
        <v>220</v>
      </c>
      <c r="F47" s="2" t="s">
        <v>47</v>
      </c>
      <c r="G47" s="2" t="s">
        <v>12</v>
      </c>
      <c r="H47" s="2" t="s">
        <v>54</v>
      </c>
      <c r="I47" s="7">
        <v>40688.770833333336</v>
      </c>
    </row>
    <row r="48" spans="1:9" x14ac:dyDescent="0.3">
      <c r="A48" s="11">
        <v>40688.770833333336</v>
      </c>
      <c r="B48" s="12" t="s">
        <v>52</v>
      </c>
      <c r="C48" s="12" t="s">
        <v>23</v>
      </c>
      <c r="D48" s="12" t="s">
        <v>55</v>
      </c>
      <c r="E48" s="12">
        <v>100</v>
      </c>
      <c r="F48" s="12" t="s">
        <v>47</v>
      </c>
      <c r="G48" s="12" t="s">
        <v>12</v>
      </c>
      <c r="H48" s="12" t="s">
        <v>56</v>
      </c>
      <c r="I48" s="13">
        <v>40688.770833333336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CE45-6C27-4C5E-BE00-91681B5A21FB}">
  <dimension ref="A1:I27"/>
  <sheetViews>
    <sheetView workbookViewId="0">
      <selection activeCell="A20" sqref="A20"/>
    </sheetView>
  </sheetViews>
  <sheetFormatPr defaultRowHeight="15.6" x14ac:dyDescent="0.3"/>
  <cols>
    <col min="1" max="1" width="27.8984375" bestFit="1" customWidth="1"/>
    <col min="2" max="2" width="25.5" bestFit="1" customWidth="1"/>
    <col min="3" max="3" width="12.19921875" bestFit="1" customWidth="1"/>
    <col min="4" max="4" width="15.69921875" bestFit="1" customWidth="1"/>
    <col min="5" max="5" width="12.19921875" bestFit="1" customWidth="1"/>
    <col min="6" max="6" width="23.796875" bestFit="1" customWidth="1"/>
    <col min="7" max="7" width="17.19921875" bestFit="1" customWidth="1"/>
    <col min="8" max="8" width="12.19921875" bestFit="1" customWidth="1"/>
    <col min="9" max="9" width="27" bestFit="1" customWidth="1"/>
  </cols>
  <sheetData>
    <row r="1" spans="1:9" x14ac:dyDescent="0.3">
      <c r="A1" s="3" t="s">
        <v>84</v>
      </c>
      <c r="B1" t="s">
        <v>88</v>
      </c>
      <c r="C1" s="3" t="s">
        <v>84</v>
      </c>
      <c r="D1" t="s">
        <v>86</v>
      </c>
      <c r="F1" s="3" t="s">
        <v>84</v>
      </c>
      <c r="G1" t="s">
        <v>87</v>
      </c>
      <c r="H1" s="3" t="s">
        <v>84</v>
      </c>
      <c r="I1" t="s">
        <v>89</v>
      </c>
    </row>
    <row r="2" spans="1:9" x14ac:dyDescent="0.3">
      <c r="A2" s="4" t="s">
        <v>11</v>
      </c>
      <c r="B2" s="16">
        <v>28433</v>
      </c>
      <c r="C2" s="4" t="s">
        <v>12</v>
      </c>
      <c r="D2" s="16">
        <v>33</v>
      </c>
      <c r="F2" s="4" t="s">
        <v>79</v>
      </c>
      <c r="G2" s="16">
        <v>1</v>
      </c>
      <c r="H2" s="4" t="s">
        <v>68</v>
      </c>
      <c r="I2" s="16">
        <v>1</v>
      </c>
    </row>
    <row r="3" spans="1:9" x14ac:dyDescent="0.3">
      <c r="A3" s="15" t="s">
        <v>79</v>
      </c>
      <c r="B3" s="16">
        <v>563</v>
      </c>
      <c r="C3" s="4" t="s">
        <v>30</v>
      </c>
      <c r="D3" s="16">
        <v>9</v>
      </c>
      <c r="F3" s="4" t="s">
        <v>33</v>
      </c>
      <c r="G3" s="16">
        <v>3</v>
      </c>
      <c r="H3" s="4" t="s">
        <v>48</v>
      </c>
      <c r="I3" s="16">
        <v>10</v>
      </c>
    </row>
    <row r="4" spans="1:9" x14ac:dyDescent="0.3">
      <c r="A4" s="15" t="s">
        <v>33</v>
      </c>
      <c r="B4" s="16">
        <v>3000</v>
      </c>
      <c r="C4" s="4" t="s">
        <v>38</v>
      </c>
      <c r="D4" s="16">
        <v>5</v>
      </c>
      <c r="F4" s="4" t="s">
        <v>53</v>
      </c>
      <c r="G4" s="16">
        <v>3</v>
      </c>
      <c r="H4" s="4" t="s">
        <v>13</v>
      </c>
      <c r="I4" s="16">
        <v>1</v>
      </c>
    </row>
    <row r="5" spans="1:9" x14ac:dyDescent="0.3">
      <c r="A5" s="15" t="s">
        <v>71</v>
      </c>
      <c r="B5" s="16">
        <v>41</v>
      </c>
      <c r="C5" s="4" t="s">
        <v>85</v>
      </c>
      <c r="D5" s="16">
        <v>47</v>
      </c>
      <c r="F5" s="4" t="s">
        <v>71</v>
      </c>
      <c r="G5" s="16">
        <v>1</v>
      </c>
      <c r="H5" s="4" t="s">
        <v>65</v>
      </c>
      <c r="I5" s="16">
        <v>1</v>
      </c>
    </row>
    <row r="6" spans="1:9" x14ac:dyDescent="0.3">
      <c r="A6" s="15" t="s">
        <v>75</v>
      </c>
      <c r="B6" s="16">
        <v>220</v>
      </c>
      <c r="F6" s="4" t="s">
        <v>75</v>
      </c>
      <c r="G6" s="16">
        <v>1</v>
      </c>
      <c r="H6" s="4" t="s">
        <v>54</v>
      </c>
      <c r="I6" s="16">
        <v>3</v>
      </c>
    </row>
    <row r="7" spans="1:9" x14ac:dyDescent="0.3">
      <c r="A7" s="15" t="s">
        <v>37</v>
      </c>
      <c r="B7" s="16">
        <v>177</v>
      </c>
      <c r="F7" s="4" t="s">
        <v>37</v>
      </c>
      <c r="G7" s="16">
        <v>2</v>
      </c>
      <c r="H7" s="4" t="s">
        <v>34</v>
      </c>
      <c r="I7" s="16">
        <v>3</v>
      </c>
    </row>
    <row r="8" spans="1:9" x14ac:dyDescent="0.3">
      <c r="A8" s="15" t="s">
        <v>67</v>
      </c>
      <c r="B8" s="16">
        <v>3000</v>
      </c>
      <c r="F8" s="4" t="s">
        <v>67</v>
      </c>
      <c r="G8" s="16">
        <v>1</v>
      </c>
      <c r="H8" s="4" t="s">
        <v>29</v>
      </c>
      <c r="I8" s="16">
        <v>6</v>
      </c>
    </row>
    <row r="9" spans="1:9" x14ac:dyDescent="0.3">
      <c r="A9" s="15" t="s">
        <v>24</v>
      </c>
      <c r="B9" s="16">
        <v>1020</v>
      </c>
      <c r="F9" s="4" t="s">
        <v>24</v>
      </c>
      <c r="G9" s="16">
        <v>3</v>
      </c>
      <c r="H9" s="4" t="s">
        <v>72</v>
      </c>
      <c r="I9" s="16">
        <v>1</v>
      </c>
    </row>
    <row r="10" spans="1:9" x14ac:dyDescent="0.3">
      <c r="A10" s="15" t="s">
        <v>16</v>
      </c>
      <c r="B10" s="16">
        <v>537</v>
      </c>
      <c r="F10" s="4" t="s">
        <v>46</v>
      </c>
      <c r="G10" s="16">
        <v>6</v>
      </c>
      <c r="H10" s="4" t="s">
        <v>25</v>
      </c>
      <c r="I10" s="16">
        <v>3</v>
      </c>
    </row>
    <row r="11" spans="1:9" x14ac:dyDescent="0.3">
      <c r="A11" s="15" t="s">
        <v>10</v>
      </c>
      <c r="B11" s="16">
        <v>5100</v>
      </c>
      <c r="F11" s="4" t="s">
        <v>55</v>
      </c>
      <c r="G11" s="16">
        <v>3</v>
      </c>
      <c r="H11" s="4" t="s">
        <v>39</v>
      </c>
      <c r="I11" s="16">
        <v>2</v>
      </c>
    </row>
    <row r="12" spans="1:9" x14ac:dyDescent="0.3">
      <c r="A12" s="15" t="s">
        <v>42</v>
      </c>
      <c r="B12" s="16">
        <v>200</v>
      </c>
      <c r="F12" s="4" t="s">
        <v>16</v>
      </c>
      <c r="G12" s="16">
        <v>3</v>
      </c>
      <c r="H12" s="4" t="s">
        <v>59</v>
      </c>
      <c r="I12" s="16">
        <v>2</v>
      </c>
    </row>
    <row r="13" spans="1:9" x14ac:dyDescent="0.3">
      <c r="A13" s="15" t="s">
        <v>58</v>
      </c>
      <c r="B13" s="16">
        <v>12800</v>
      </c>
      <c r="F13" s="4" t="s">
        <v>10</v>
      </c>
      <c r="G13" s="16">
        <v>1</v>
      </c>
      <c r="H13" s="4" t="s">
        <v>51</v>
      </c>
      <c r="I13" s="16">
        <v>3</v>
      </c>
    </row>
    <row r="14" spans="1:9" x14ac:dyDescent="0.3">
      <c r="A14" s="15" t="s">
        <v>28</v>
      </c>
      <c r="B14" s="16">
        <v>315</v>
      </c>
      <c r="D14" t="str">
        <f>D1</f>
        <v>Count of Supplier</v>
      </c>
      <c r="F14" s="4" t="s">
        <v>42</v>
      </c>
      <c r="G14" s="16">
        <v>1</v>
      </c>
      <c r="H14" s="4" t="s">
        <v>82</v>
      </c>
      <c r="I14" s="16">
        <v>1</v>
      </c>
    </row>
    <row r="15" spans="1:9" x14ac:dyDescent="0.3">
      <c r="A15" s="15" t="s">
        <v>81</v>
      </c>
      <c r="B15" s="16">
        <v>982</v>
      </c>
      <c r="D15">
        <f>GETPIVOTDATA("Supplier",$C$1)</f>
        <v>47</v>
      </c>
      <c r="F15" s="4" t="s">
        <v>60</v>
      </c>
      <c r="G15" s="16">
        <v>4</v>
      </c>
      <c r="H15" s="4" t="s">
        <v>21</v>
      </c>
      <c r="I15" s="16">
        <v>1</v>
      </c>
    </row>
    <row r="16" spans="1:9" x14ac:dyDescent="0.3">
      <c r="A16" s="15" t="s">
        <v>20</v>
      </c>
      <c r="B16" s="16">
        <v>478</v>
      </c>
      <c r="F16" s="4" t="s">
        <v>58</v>
      </c>
      <c r="G16" s="16">
        <v>2</v>
      </c>
      <c r="H16" s="4" t="s">
        <v>17</v>
      </c>
      <c r="I16" s="16">
        <v>3</v>
      </c>
    </row>
    <row r="17" spans="1:9" x14ac:dyDescent="0.3">
      <c r="A17" s="4" t="s">
        <v>47</v>
      </c>
      <c r="B17" s="16">
        <v>55260</v>
      </c>
      <c r="F17" s="4" t="s">
        <v>50</v>
      </c>
      <c r="G17" s="16">
        <v>3</v>
      </c>
      <c r="H17" s="4" t="s">
        <v>76</v>
      </c>
      <c r="I17" s="16">
        <v>1</v>
      </c>
    </row>
    <row r="18" spans="1:9" x14ac:dyDescent="0.3">
      <c r="A18" s="15" t="s">
        <v>53</v>
      </c>
      <c r="B18" s="16">
        <v>660</v>
      </c>
      <c r="F18" s="4" t="s">
        <v>64</v>
      </c>
      <c r="G18" s="16">
        <v>1</v>
      </c>
      <c r="H18" s="4" t="s">
        <v>43</v>
      </c>
      <c r="I18" s="16">
        <v>2</v>
      </c>
    </row>
    <row r="19" spans="1:9" x14ac:dyDescent="0.3">
      <c r="A19" s="15" t="s">
        <v>46</v>
      </c>
      <c r="B19" s="16">
        <v>0</v>
      </c>
      <c r="F19" s="4" t="s">
        <v>28</v>
      </c>
      <c r="G19" s="16">
        <v>6</v>
      </c>
      <c r="H19" s="4" t="s">
        <v>56</v>
      </c>
      <c r="I19" s="16">
        <v>3</v>
      </c>
    </row>
    <row r="20" spans="1:9" x14ac:dyDescent="0.3">
      <c r="A20" s="15" t="s">
        <v>55</v>
      </c>
      <c r="B20" s="16">
        <v>300</v>
      </c>
      <c r="F20" s="4" t="s">
        <v>81</v>
      </c>
      <c r="G20" s="16">
        <v>1</v>
      </c>
      <c r="H20" s="4" t="s">
        <v>85</v>
      </c>
      <c r="I20" s="16">
        <v>47</v>
      </c>
    </row>
    <row r="21" spans="1:9" x14ac:dyDescent="0.3">
      <c r="A21" s="15" t="s">
        <v>60</v>
      </c>
      <c r="B21" s="16">
        <v>0</v>
      </c>
      <c r="F21" s="4" t="s">
        <v>20</v>
      </c>
      <c r="G21" s="16">
        <v>1</v>
      </c>
    </row>
    <row r="22" spans="1:9" x14ac:dyDescent="0.3">
      <c r="A22" s="15" t="s">
        <v>50</v>
      </c>
      <c r="B22" s="16">
        <v>53000</v>
      </c>
      <c r="F22" s="4" t="s">
        <v>85</v>
      </c>
      <c r="G22" s="16">
        <v>47</v>
      </c>
    </row>
    <row r="23" spans="1:9" x14ac:dyDescent="0.3">
      <c r="A23" s="15" t="s">
        <v>64</v>
      </c>
      <c r="B23" s="16">
        <v>1300</v>
      </c>
    </row>
    <row r="24" spans="1:9" x14ac:dyDescent="0.3">
      <c r="A24" s="4" t="s">
        <v>85</v>
      </c>
      <c r="B24" s="16">
        <v>83693</v>
      </c>
    </row>
    <row r="26" spans="1:9" x14ac:dyDescent="0.3">
      <c r="B26" t="str">
        <f>B1</f>
        <v>Sum of Tax Inclusive Amount</v>
      </c>
    </row>
    <row r="27" spans="1:9" x14ac:dyDescent="0.3">
      <c r="B27">
        <f>GETPIVOTDATA("Tax Inclusive Amount",$A$1)</f>
        <v>83693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0B2EF-1729-4B69-901C-2CC4597ADCB7}">
  <dimension ref="A1"/>
  <sheetViews>
    <sheetView tabSelected="1" zoomScale="95" workbookViewId="0">
      <selection activeCell="A20" sqref="A20"/>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0C0ABD-2C4B-4E56-8D7A-7A17E3E505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q2table2</vt:lpstr>
      <vt:lpstr>Expenses sheet </vt:lpstr>
      <vt:lpstr>sheet2</vt:lpstr>
      <vt:lpstr>Pivot_Sheet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zarvin.114@outlook.com</dc:creator>
  <cp:lastModifiedBy>zarvin.114@outlook.com</cp:lastModifiedBy>
  <dcterms:created xsi:type="dcterms:W3CDTF">2025-03-22T06:28:48Z</dcterms:created>
  <dcterms:modified xsi:type="dcterms:W3CDTF">2025-04-11T13:14:08Z</dcterms:modified>
</cp:coreProperties>
</file>